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sln\apps\ReadIdCard\public\"/>
    </mc:Choice>
  </mc:AlternateContent>
  <xr:revisionPtr revIDLastSave="0" documentId="13_ncr:1_{14CD15D6-96A1-4723-9C5C-2C3291C8FBA6}" xr6:coauthVersionLast="47" xr6:coauthVersionMax="47" xr10:uidLastSave="{00000000-0000-0000-0000-000000000000}"/>
  <bookViews>
    <workbookView xWindow="3420" yWindow="3420" windowWidth="28800" windowHeight="15370" xr2:uid="{00000000-000D-0000-FFFF-FFFF00000000}"/>
  </bookViews>
  <sheets>
    <sheet name="Dự toán" sheetId="1" r:id="rId1"/>
    <sheet name="Giải pháp" sheetId="4" state="hidden" r:id="rId2"/>
    <sheet name="Báo giá" sheetId="5" state="hidden" r:id="rId3"/>
    <sheet name="Sản phẩm" sheetId="6" state="hidden" r:id="rId4"/>
    <sheet name="Filum Survey" sheetId="7" state="hidden" r:id="rId5"/>
    <sheet name="Filum Review" sheetId="8" state="hidden" r:id="rId6"/>
    <sheet name="Filum Conversation" sheetId="9" state="hidden" r:id="rId7"/>
    <sheet name="Filum Care" sheetId="10" state="hidden" r:id="rId8"/>
    <sheet name="Filum Insight" sheetId="11" state="hidden" r:id="rId9"/>
    <sheet name="Filum Journey" sheetId="12" state="hidden" r:id="rId10"/>
    <sheet name="Filum xID" sheetId="13"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6" l="1"/>
  <c r="V13" i="6" s="1"/>
  <c r="V10" i="6"/>
  <c r="L33" i="5"/>
  <c r="K27" i="5"/>
  <c r="L26" i="5"/>
  <c r="L25" i="5"/>
  <c r="L24" i="5"/>
  <c r="L23" i="5"/>
  <c r="L22" i="5"/>
  <c r="L21" i="5"/>
  <c r="L27" i="5" s="1"/>
  <c r="L30" i="5" s="1"/>
  <c r="L42" i="5" s="1"/>
</calcChain>
</file>

<file path=xl/sharedStrings.xml><?xml version="1.0" encoding="utf-8"?>
<sst xmlns="http://schemas.openxmlformats.org/spreadsheetml/2006/main" count="1339" uniqueCount="316">
  <si>
    <t>CÔNG TY CỔ PHẦN FILUM</t>
  </si>
  <si>
    <t>285/60 Cách Mạng Tháng 8, Phường 12, Quận 10, Thành phố Hồ Chí Minh, Việt Nam</t>
  </si>
  <si>
    <t>Email: explore@filum.ai | Phone: 0888181813</t>
  </si>
  <si>
    <t>MST: 0316274208</t>
  </si>
  <si>
    <t>BÁO GIÁ GIẢI PHÁP FILUM CXM</t>
  </si>
  <si>
    <t>I. Filum Platform</t>
  </si>
  <si>
    <t>Mô tả</t>
  </si>
  <si>
    <t>Số lượng</t>
  </si>
  <si>
    <t>Đơn giá</t>
  </si>
  <si>
    <t>Thành tiền</t>
  </si>
  <si>
    <t>Note: Trả tiền hàng năm để duy trì hạ tầng, hệ thống và tất cả các cập nhật và phát triển mới nhất</t>
  </si>
  <si>
    <t>Professional</t>
  </si>
  <si>
    <t>Quản trị trải nghiệm toàn diện</t>
  </si>
  <si>
    <t>Filum Journey</t>
  </si>
  <si>
    <t>Filum Survey</t>
  </si>
  <si>
    <t>Khảo sát tự động và chuyên sâu theo CSAT, NPS, CES trên từng điểm chạm</t>
  </si>
  <si>
    <t>Filum Conversation</t>
  </si>
  <si>
    <t>Filum Care</t>
  </si>
  <si>
    <t>Filum Insight</t>
  </si>
  <si>
    <t>Note: Trả tiền 1 lần trong giai đoạn Onboarding</t>
  </si>
  <si>
    <t>Tích hợp hệ thống</t>
  </si>
  <si>
    <t>Xây dựng kế hoạch triển khai giải pháp</t>
  </si>
  <si>
    <t>Trao đổi để hiểu rõ định hướng chiến lược tổng quan dự án. Xác định phạm vi và mục tiêu từng giai đoạn. Phân công nhiệm vụ và trách nhiệm của từng bên dựa theo lịch trình của dự án.</t>
  </si>
  <si>
    <t>Xây dựng kịch bản &amp; kiểm thử hệ thống</t>
  </si>
  <si>
    <t>Xây dựng kịch bản theo từng chiến dịch. Tham gia cấu hình và đồng kiểm thử hệ thống, tư vấn hiệu chỉnh.</t>
  </si>
  <si>
    <t>Triển khai hệ thống</t>
  </si>
  <si>
    <t>Đào tạo sử dụng</t>
  </si>
  <si>
    <t>Review hệ thống</t>
  </si>
  <si>
    <t>Tổ chức review định kỳ. Cung cấp phân tích dựa trên hiệu suất của hệ thống Filum XM.</t>
  </si>
  <si>
    <t>Báo cáo</t>
  </si>
  <si>
    <t>Tổng thanh toán</t>
  </si>
  <si>
    <t>Dịch vụ triển khai chuyên nghiệp</t>
  </si>
  <si>
    <t>Add-on</t>
  </si>
  <si>
    <t>1. Lưu ý:</t>
  </si>
  <si>
    <t>2. Bảo mật thông tin:</t>
  </si>
  <si>
    <t>- Báo Giá Dịch Vụ này chỉ được áp dụng đối với Quý khách mà không áp dụng với một bên thứ ba nào khác;</t>
  </si>
  <si>
    <t>Thu thập phản hồi khách hàng đa kênh, tự động phản hồi và xử lý</t>
  </si>
  <si>
    <t>Thiết lập kịch bản, tự động phân luồng, tạo và xử lý ticket, giao tiếp với khách hàng ở 1 nơi duy nhất</t>
  </si>
  <si>
    <t xml:space="preserve">   Thông tin liên hệ</t>
  </si>
  <si>
    <t>Nền tảng quản trị trải nghiệm toàn diện với GenAI</t>
  </si>
  <si>
    <t>📧: vision@filum.ai
📞: 0888 18 13 13</t>
  </si>
  <si>
    <t xml:space="preserve">01   </t>
  </si>
  <si>
    <t>Giải pháp Filum CX Suite</t>
  </si>
  <si>
    <t xml:space="preserve">02   </t>
  </si>
  <si>
    <t>Giải pháp Filum VoC</t>
  </si>
  <si>
    <t>Giá</t>
  </si>
  <si>
    <t>Starter</t>
  </si>
  <si>
    <t>Enterprise</t>
  </si>
  <si>
    <t xml:space="preserve">Giá Bundles / năm        </t>
  </si>
  <si>
    <t xml:space="preserve">Giá Bunddes / năm	</t>
  </si>
  <si>
    <t>Giá Bundles / tháng</t>
  </si>
  <si>
    <t>Giá Bunddes / tháng</t>
  </si>
  <si>
    <t>Tiết kiệm</t>
  </si>
  <si>
    <t>Giá mua lẻ</t>
  </si>
  <si>
    <t>Sản phẩm</t>
  </si>
  <si>
    <t xml:space="preserve">   Filum Survey</t>
  </si>
  <si>
    <t xml:space="preserve">   Filum Review</t>
  </si>
  <si>
    <t xml:space="preserve">   Filum Conversation</t>
  </si>
  <si>
    <t>❌</t>
  </si>
  <si>
    <t xml:space="preserve">   Filum Care</t>
  </si>
  <si>
    <t xml:space="preserve">   Filum Journey</t>
  </si>
  <si>
    <t xml:space="preserve">   Filum Insight</t>
  </si>
  <si>
    <t xml:space="preserve">   Filum xID</t>
  </si>
  <si>
    <t>Usage</t>
  </si>
  <si>
    <t>Số user</t>
  </si>
  <si>
    <t>Số lượng phản hồi / năm</t>
  </si>
  <si>
    <t>Số lượng Review / năm</t>
  </si>
  <si>
    <t>Số lượng hội thoại/ năm</t>
  </si>
  <si>
    <t>Số lượng ticket/ năm</t>
  </si>
  <si>
    <t>Số lượng trigger Automations</t>
  </si>
  <si>
    <t>Số lượng hành trình</t>
  </si>
  <si>
    <t>không giới hạn</t>
  </si>
  <si>
    <t>Số lượng phản hồi + Review phân tích (có comment)</t>
  </si>
  <si>
    <t>Số lượng điểm chạm</t>
  </si>
  <si>
    <t>Số lượng phút gọi phân tích</t>
  </si>
  <si>
    <t>XM Platform</t>
  </si>
  <si>
    <t>Số lượng hồ sơ khách hàng</t>
  </si>
  <si>
    <t>Ngôn ngữ: tiếng anh và tiếng việt</t>
  </si>
  <si>
    <t>Số lượng phân khúc khách hàng</t>
  </si>
  <si>
    <t>50+ Integrations</t>
  </si>
  <si>
    <t>Public API / Webhook</t>
  </si>
  <si>
    <t>SSO</t>
  </si>
  <si>
    <t>Role-based permissions</t>
  </si>
  <si>
    <t>Metadata</t>
  </si>
  <si>
    <t>Quản lý Voucher</t>
  </si>
  <si>
    <t>Support &amp; Resources</t>
  </si>
  <si>
    <t>Trung tâm trợ giúp</t>
  </si>
  <si>
    <t>Live chat</t>
  </si>
  <si>
    <t>Đào tạo online</t>
  </si>
  <si>
    <t>Nhân viên triển khai chuyên biệt</t>
  </si>
  <si>
    <t>Đào tạo trực tiếp</t>
  </si>
  <si>
    <t>Service</t>
  </si>
  <si>
    <t>Dịch vụ kết nối API với hệ thống nội bộ</t>
  </si>
  <si>
    <t>liên hệ</t>
  </si>
  <si>
    <t>Đào tạo và workshop về trải nghiệm khách hàng</t>
  </si>
  <si>
    <t>Tư vấn và xây dựng</t>
  </si>
  <si>
    <t>miễn phí</t>
  </si>
  <si>
    <t>Zalo ZNS (theo giá công bố của Zalo)</t>
  </si>
  <si>
    <t>220đ / tin ZNS</t>
  </si>
  <si>
    <t>SMS</t>
  </si>
  <si>
    <t>liên hệ đội ngũ tư vấn</t>
  </si>
  <si>
    <t>Call-center</t>
  </si>
  <si>
    <t>Số lượng User</t>
  </si>
  <si>
    <t>Số lượng Feedback</t>
  </si>
  <si>
    <t>Số lượng Review</t>
  </si>
  <si>
    <r>
      <rPr>
        <sz val="12"/>
        <rFont val="Times New Roman"/>
        <family val="1"/>
      </rPr>
      <t xml:space="preserve">Website: </t>
    </r>
    <r>
      <rPr>
        <u/>
        <sz val="12"/>
        <color rgb="FF1155CC"/>
        <rFont val="Times New Roman"/>
        <family val="1"/>
      </rPr>
      <t>https://www.filum.ai</t>
    </r>
  </si>
  <si>
    <t>Hồ Chí Minh, ngày 29 tháng 08 năm 2024</t>
  </si>
  <si>
    <t>Kính gửi Quý Khách Hàng: NACENCOMM</t>
  </si>
  <si>
    <r>
      <rPr>
        <sz val="12"/>
        <rFont val="Times New Roman"/>
        <family val="1"/>
      </rPr>
      <t>Công ty Cổ phần Filum ("</t>
    </r>
    <r>
      <rPr>
        <u/>
        <sz val="12"/>
        <color rgb="FF1155CC"/>
        <rFont val="Times New Roman"/>
        <family val="1"/>
      </rPr>
      <t>Filum.ai</t>
    </r>
    <r>
      <rPr>
        <sz val="12"/>
        <rFont val="Times New Roman"/>
        <family val="1"/>
      </rPr>
      <t>") trân trọng cảm ơn Quý Khách Hàng đã quan tâm và tin tưởng dịch vụ phần mềm mà Filum.ai cung cấp. 
Filum.ai xin gửi đến Quý Khách hàng Báo Giá Dịch Vụ chi tiết mà Quý Khách Hàng đang quan tâm.</t>
    </r>
  </si>
  <si>
    <t>Thời gian
(tháng)</t>
  </si>
  <si>
    <t>Hợp nhất các kênh support khách hàng, xử lý nhanh chóng với trợ lực từ Gen AI</t>
  </si>
  <si>
    <t>Xây dựng điểm chạm và hành trình khách hàng, quản lý ngay tức thì</t>
  </si>
  <si>
    <t>Thấu hiểu khách hàng sâu sắc</t>
  </si>
  <si>
    <t>Filum xID</t>
  </si>
  <si>
    <t>Xây dựng hồ sơ trải nghiệm khách hàng, phân khúc khách hàng để kích hoạt chiến dịch nâng cao giá trị vòng đời</t>
  </si>
  <si>
    <t>Filum VoC</t>
  </si>
  <si>
    <t>1 workspace</t>
  </si>
  <si>
    <t>12 tháng</t>
  </si>
  <si>
    <t>II. Chiết khấu</t>
  </si>
  <si>
    <t>Note: Tiết kiệm được 30% từ chiết khấu</t>
  </si>
  <si>
    <t xml:space="preserve">Chiết khấu dịch vụ </t>
  </si>
  <si>
    <t>III. Add-on feature &amp; usage</t>
  </si>
  <si>
    <t>Note: NACENCOMM có 15 nhân sự quản lý trải nghiệm khách hàng, dựa vào gói Professional ban đầu số lượng users là 5</t>
  </si>
  <si>
    <t>Tăng thêm user</t>
  </si>
  <si>
    <t xml:space="preserve">Tăng thêm 10 users </t>
  </si>
  <si>
    <t xml:space="preserve">IV. Dịch vụ triển khai chuyên nghiệp </t>
  </si>
  <si>
    <t>Dịch vụ kết nối API với các hệ thống nội bộ</t>
  </si>
  <si>
    <t>Hỗ trợ đào tạo cách thức vận hành hệ thống Filum XM. Xây dựng tài liệu HDSD riêng biệt theo quy trình vận hành thực tế của HTJ. Đóng gói các câu hỏi thường gặp khi sử dụng nền tảng.</t>
  </si>
  <si>
    <r>
      <rPr>
        <sz val="12"/>
        <color theme="1"/>
        <rFont val="Times New Roman"/>
        <family val="1"/>
      </rPr>
      <t xml:space="preserve">Báo giá có hiệu lực đến hết ngày </t>
    </r>
    <r>
      <rPr>
        <b/>
        <sz val="12"/>
        <color theme="1"/>
        <rFont val="Times New Roman"/>
        <family val="1"/>
      </rPr>
      <t>28/09/2024</t>
    </r>
  </si>
  <si>
    <t>Mỗi buổi tương đương với 04 giờ làm việc
Chi phí trên chưa bao gồm phí di chuyển và lưu trú trong trường hợp triển khai trực tiếp ngoài khu vực TP. Hồ Chí Minh</t>
  </si>
  <si>
    <t xml:space="preserve">#01  </t>
  </si>
  <si>
    <t xml:space="preserve">Mô tả   </t>
  </si>
  <si>
    <t>Khảo sát khách hàng theo CSAT, NPS, CES trên từng điểm chạm bằng tự động hoàn toàn.</t>
  </si>
  <si>
    <t xml:space="preserve">#02  </t>
  </si>
  <si>
    <t xml:space="preserve">#03  </t>
  </si>
  <si>
    <t xml:space="preserve">#04  </t>
  </si>
  <si>
    <t xml:space="preserve">#05  </t>
  </si>
  <si>
    <t xml:space="preserve">#06  </t>
  </si>
  <si>
    <t xml:space="preserve">#07  </t>
  </si>
  <si>
    <t>Tính năng</t>
  </si>
  <si>
    <t>Tổng quan</t>
  </si>
  <si>
    <t>Giá hàng tháng</t>
  </si>
  <si>
    <t>Số lượng tickets / năm</t>
  </si>
  <si>
    <t>Số lượng users</t>
  </si>
  <si>
    <t>Số lượt trigger Automations</t>
  </si>
  <si>
    <t>Xây dựng khảo sát chuyên nghiệp</t>
  </si>
  <si>
    <t>Thu thập phản hồi đa kênh</t>
  </si>
  <si>
    <t>Kết nối hội thoại đa kênh</t>
  </si>
  <si>
    <t>Automation</t>
  </si>
  <si>
    <t>Insight tổng hợp</t>
  </si>
  <si>
    <t>Điểm chạm</t>
  </si>
  <si>
    <t>xID - Hợp nhất hồ sơ trải nghiệm</t>
  </si>
  <si>
    <t>50+ mẫu khảo sát cho từng ngành</t>
  </si>
  <si>
    <t>Google Review / Facebook Review</t>
  </si>
  <si>
    <t>Zalo OA</t>
  </si>
  <si>
    <t>Biểu mẫu các kịch bản tự động</t>
  </si>
  <si>
    <t>Khuyến nghị tổng quan, điểm tốt, điểm không tốt, đề xuất cả thiện và những khuyến nghị khác.</t>
  </si>
  <si>
    <t>Thiết lập và quản lý điểm chạm</t>
  </si>
  <si>
    <t>Chỉ số trải nghiệm: SCAT, NPS, CES</t>
  </si>
  <si>
    <t>Tuỳ biến thương hiệu theo từng doanh nghiệp</t>
  </si>
  <si>
    <t>Apple Store / Google Play Store</t>
  </si>
  <si>
    <t>Facebook Messenger</t>
  </si>
  <si>
    <t>Luồng quy trình tự động</t>
  </si>
  <si>
    <t>Khởi tạo chiến dịch khảo sát gắn với điểm chạm</t>
  </si>
  <si>
    <t>Tích hợp số liệu giao dịch và doanh thu</t>
  </si>
  <si>
    <t>Đo lường các chỉ số về CX như: CSAT, NPS, CES</t>
  </si>
  <si>
    <t>Lazada / Shopee / Tiki / Tiktop (soon)</t>
  </si>
  <si>
    <t>Email</t>
  </si>
  <si>
    <t>Luồng tự động hành động &amp; xử lý</t>
  </si>
  <si>
    <t>Phân tích văn bản</t>
  </si>
  <si>
    <t>Báo cáo hiệu suất từng điểm chạm</t>
  </si>
  <si>
    <t>Thông tin nhân khẩu học</t>
  </si>
  <si>
    <t>12 loại câu hỏi khảo sát chuyên sâu</t>
  </si>
  <si>
    <t>Booking / Agoda / Tripadvisor / Mytour / Airbnb</t>
  </si>
  <si>
    <t>Etelecom Call Center</t>
  </si>
  <si>
    <t>Luồng tự động thông báo</t>
  </si>
  <si>
    <t>Phân tích chủ đề tổng quan</t>
  </si>
  <si>
    <t>Hành trình cảm xúc khách hàng</t>
  </si>
  <si>
    <t>Thiết lập logic cho luồng câu hỏi</t>
  </si>
  <si>
    <t>Airline ratings / Skytrax / Kayak / Trustpilot</t>
  </si>
  <si>
    <t>MatBao CloudFone</t>
  </si>
  <si>
    <t>Luồng tự động nhiều hành động</t>
  </si>
  <si>
    <t>Chủ đề nhận được nhiều đánh giá tiêu cực</t>
  </si>
  <si>
    <t>Hành trình khách hàng</t>
  </si>
  <si>
    <t>Lịch sử tương tác và trải nghiệm</t>
  </si>
  <si>
    <t>Tuỳ biến màn hình chào mừng</t>
  </si>
  <si>
    <t>Omi Call</t>
  </si>
  <si>
    <t>Xu hướng chủ đề theo thời gian</t>
  </si>
  <si>
    <t>Quản lý hành trình khách hàng</t>
  </si>
  <si>
    <t>Tuỳ biến form yêu cầu thông tin</t>
  </si>
  <si>
    <t>Quản lý phản hồi</t>
  </si>
  <si>
    <t>Callio</t>
  </si>
  <si>
    <t>Ticket</t>
  </si>
  <si>
    <t>Báo cáo chi tiết từng chủ đề</t>
  </si>
  <si>
    <t>Khởi tạo hành trình khách hàng bằng GenAI</t>
  </si>
  <si>
    <t>Segments - Phân khúc khách hàng</t>
  </si>
  <si>
    <t>Tuỳ biến màn hình hoàn thành</t>
  </si>
  <si>
    <t>Tập trung toàn bộ Review về 1 chỗ</t>
  </si>
  <si>
    <t>AntBuddy Call</t>
  </si>
  <si>
    <t>Tổng hợp và phân loại ticket</t>
  </si>
  <si>
    <t>Ý kiến của từng chủ đề</t>
  </si>
  <si>
    <t>Báo cáo hành trình khách hàng realtime</t>
  </si>
  <si>
    <t xml:space="preserve">Xây sẵn phân khúc khách hàng </t>
  </si>
  <si>
    <t>Thân thiện với thiết bị di động</t>
  </si>
  <si>
    <t>Tích hợp xử lý các Review</t>
  </si>
  <si>
    <t>Zubiz</t>
  </si>
  <si>
    <t>Trang chi tiết ticket</t>
  </si>
  <si>
    <t>Phân tích chủ đề theo từng điểm chạm</t>
  </si>
  <si>
    <t>Tuỳ biến tạo phân khúc khách hàng theo từng điều kiện</t>
  </si>
  <si>
    <t>Khảo sát đa ngôn ngữ</t>
  </si>
  <si>
    <t>Trang chi tiết của từng Review</t>
  </si>
  <si>
    <t>Ticket SLA</t>
  </si>
  <si>
    <t>Phân tích chủ đề theo Survey và Review</t>
  </si>
  <si>
    <t>Platform</t>
  </si>
  <si>
    <t>Tự động tạo phân khúc khách hàng bằng AI</t>
  </si>
  <si>
    <t>Bộ lọc tuỳ chỉnh và lưu chế độ xem</t>
  </si>
  <si>
    <t>Xử lý hội thoại chat ngay tức thì</t>
  </si>
  <si>
    <t>Đồng bộ thông tin khách hàng</t>
  </si>
  <si>
    <t>Phân tích chủ đề theo từng phản hồi và đánh giá</t>
  </si>
  <si>
    <t>Phân khối khảo sát đa kênh</t>
  </si>
  <si>
    <t>Tự động phản hồi (coming soon)</t>
  </si>
  <si>
    <t>Chuyển đổi thành ticket</t>
  </si>
  <si>
    <t>Đồng bộ lịch sử phản hồi của khách hàng</t>
  </si>
  <si>
    <t>Zalo ZNS</t>
  </si>
  <si>
    <t>Phân phối các Review tích cực lên website</t>
  </si>
  <si>
    <t>Lưu trữ hội thoại</t>
  </si>
  <si>
    <t>Tích hợp Call center</t>
  </si>
  <si>
    <t>Phân tích cuộc gọi (beta)</t>
  </si>
  <si>
    <t xml:space="preserve">SMS </t>
  </si>
  <si>
    <t>Định danh thông tin khách hàng</t>
  </si>
  <si>
    <t>Tích hợp Zalo (coming soon)</t>
  </si>
  <si>
    <t>Phân tích chủ đề và sắc thái trên từng cuộc gọi</t>
  </si>
  <si>
    <t>Lịch sử khách hàng</t>
  </si>
  <si>
    <t>Báo cáo hiệu suất xử lý ticket</t>
  </si>
  <si>
    <t>Tóm tắt cuộc gọi</t>
  </si>
  <si>
    <t>Public Link</t>
  </si>
  <si>
    <t>Báo cáo chi tiết của từng nguồn</t>
  </si>
  <si>
    <t>AI khuyến nghị câu trả lời (coming soon)</t>
  </si>
  <si>
    <t>Báo cáo hiệu suất nhân viên</t>
  </si>
  <si>
    <t>QR Code</t>
  </si>
  <si>
    <t>Báo cáo tổng quan tất cả các nguồn</t>
  </si>
  <si>
    <t>Ứng dụng GenAI</t>
  </si>
  <si>
    <t>AI tổng hợp &amp; tóm tắt (coming soon)</t>
  </si>
  <si>
    <t>Báo cáo chủ đề được nhắc đến nhiều nhất</t>
  </si>
  <si>
    <t>POS (offline)</t>
  </si>
  <si>
    <t>Báo cáo tuỳ chỉnh theo nhu cầu</t>
  </si>
  <si>
    <t>Tóm tắt nội dung hội thoại</t>
  </si>
  <si>
    <t>Báo cáo theo chủ đề tiêu cực</t>
  </si>
  <si>
    <t>Support</t>
  </si>
  <si>
    <t>Website Embed</t>
  </si>
  <si>
    <t>Gợi ý câu trả lời theo từng bối cảnh</t>
  </si>
  <si>
    <t>Bộ lọc cuộc gọi theo từng chủ đề</t>
  </si>
  <si>
    <t>App Embed</t>
  </si>
  <si>
    <t>Thiết lập nâng cao</t>
  </si>
  <si>
    <t>Bộ lọc cuộc gọi theo từng sắc thái cảm xúc</t>
  </si>
  <si>
    <t>Web / App SDK</t>
  </si>
  <si>
    <t>Thời gian đồng bộ giữ liệu</t>
  </si>
  <si>
    <t>Hàng ngày</t>
  </si>
  <si>
    <t>Hàng giờ</t>
  </si>
  <si>
    <t>Phân tích mục đích cuộc gọi</t>
  </si>
  <si>
    <t>Whatsapp (coming soon)</t>
  </si>
  <si>
    <t>Đồng bộ dự liệu quá khứ</t>
  </si>
  <si>
    <t>30 ngày</t>
  </si>
  <si>
    <t>Toàn thời gian</t>
  </si>
  <si>
    <t>Insight tổng hợp và khuyến nghị từ GenAI</t>
  </si>
  <si>
    <t>Telegram (coming soon)</t>
  </si>
  <si>
    <t>Gói dịch vụ triển khai chuyên nghiệp</t>
  </si>
  <si>
    <t>Tự động gửi khảo sát theo events</t>
  </si>
  <si>
    <t>Thiết lập gửi khảo sát tự động định kỳ theo lịch</t>
  </si>
  <si>
    <t>Thiết lập gửi khảo sát tự động theo Trigger event</t>
  </si>
  <si>
    <t>Kết nối sẵn với các nền tảng phổ biến</t>
  </si>
  <si>
    <t>Tập trung tất cả các phản hồi về 1 nơi</t>
  </si>
  <si>
    <t>Trang chi tiết của từng phản hồi</t>
  </si>
  <si>
    <t>Báo cáo tổng quan CX từng campaign</t>
  </si>
  <si>
    <t>Báo cáo hiệu suất của từng campaign</t>
  </si>
  <si>
    <t>Báo cáo hiệu suất khảo sát tổng quan và từng kênh</t>
  </si>
  <si>
    <t>Báo cáo CX toàn diện</t>
  </si>
  <si>
    <t>Báo cáo CX theo hành trình khách hàng</t>
  </si>
  <si>
    <t>Báo cáo theo Metadata</t>
  </si>
  <si>
    <t>Phân quyền trên từng Campaign</t>
  </si>
  <si>
    <t>Tự động chuyển sang câu hỏi tiếp theo sau khi chọn câu trả lời</t>
  </si>
  <si>
    <t>Thu thập phản hồi ngay cả khi chưa hoàn thành</t>
  </si>
  <si>
    <t>Xuất dữ liệu và nhập dữ liệu</t>
  </si>
  <si>
    <t>Điều hướng người dùng để lại Review trên Google</t>
  </si>
  <si>
    <t>Phân phối các phản hồi tích cực lên website</t>
  </si>
  <si>
    <t>Thiết lập thời hạn của khảo sát</t>
  </si>
  <si>
    <t>Thiết lập tặng voucher khi kết thúc khảo sát</t>
  </si>
  <si>
    <t>Tuỳ biến tên miền riêng của doanh nghiệp</t>
  </si>
  <si>
    <t>Dịch vụ</t>
  </si>
  <si>
    <t>Liên hệ</t>
  </si>
  <si>
    <t>Tiện ích</t>
  </si>
  <si>
    <t>Số tiền / sms</t>
  </si>
  <si>
    <t>Giá tiền / phút gọi</t>
  </si>
  <si>
    <t>Đơn giá / users</t>
  </si>
  <si>
    <t>đơn giá / 1000 phản hồi / năm</t>
  </si>
  <si>
    <t>Số lượng xID</t>
  </si>
  <si>
    <t>Số phút gọi phân tích</t>
  </si>
  <si>
    <t>Số phản hồi phân tích</t>
  </si>
  <si>
    <t>Số lượng phản hồi + Review phân tích</t>
  </si>
  <si>
    <t xml:space="preserve">LỊCH SỬ VISITOR </t>
  </si>
  <si>
    <t xml:space="preserve">Ngày: 25/03/2025 </t>
  </si>
  <si>
    <t>Số lượng: 262</t>
  </si>
  <si>
    <t>STT</t>
  </si>
  <si>
    <t>HỌ VÀ TÊN</t>
  </si>
  <si>
    <t>Nguyễn Ngọc Minh Anh</t>
  </si>
  <si>
    <t>CCCD</t>
  </si>
  <si>
    <t>01628439539</t>
  </si>
  <si>
    <t>GIỜ SIGN OUT</t>
  </si>
  <si>
    <t>GIỜ SIGN IN</t>
  </si>
  <si>
    <t>TRẠNG THÁI</t>
  </si>
  <si>
    <t>17:00</t>
  </si>
  <si>
    <t>Signed in</t>
  </si>
  <si>
    <t>KHU VỰC TẦNG</t>
  </si>
  <si>
    <t>PHÒNG BAN</t>
  </si>
  <si>
    <t>MỤC ĐÍCH</t>
  </si>
  <si>
    <t>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</si>
</sst>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
  </numFmts>
  <fonts count="78">
    <font>
      <sz val="10"/>
      <color rgb="FF000000"/>
      <name val="Arial"/>
      <scheme val="minor"/>
    </font>
    <font>
      <sz val="12"/>
      <color theme="1"/>
      <name val="Arial"/>
      <family val="2"/>
    </font>
    <font>
      <i/>
      <sz val="12"/>
      <color theme="1"/>
      <name val="Arial"/>
      <family val="2"/>
    </font>
    <font>
      <sz val="10"/>
      <color theme="1"/>
      <name val="Arial"/>
      <family val="2"/>
    </font>
    <font>
      <sz val="10"/>
      <name val="Arial"/>
      <family val="2"/>
    </font>
    <font>
      <sz val="10"/>
      <color theme="1"/>
      <name val="Plus Jakarta Sans"/>
    </font>
    <font>
      <sz val="10"/>
      <color theme="1"/>
      <name val="Arial"/>
      <family val="2"/>
      <scheme val="minor"/>
    </font>
    <font>
      <sz val="11"/>
      <color theme="1"/>
      <name val="Plus Jakarta Sans"/>
    </font>
    <font>
      <b/>
      <sz val="15"/>
      <color rgb="FF081F73"/>
      <name val="&quot;Plus Jakarta Sans&quot;"/>
    </font>
    <font>
      <b/>
      <sz val="30"/>
      <color rgb="FF081F73"/>
      <name val="&quot;Plus Jakarta Sans&quot;"/>
    </font>
    <font>
      <b/>
      <sz val="10"/>
      <color theme="1"/>
      <name val="Plus Jakarta Sans"/>
    </font>
    <font>
      <b/>
      <i/>
      <sz val="15"/>
      <color theme="1"/>
      <name val="Plus Jakarta Sans"/>
    </font>
    <font>
      <b/>
      <sz val="10"/>
      <color rgb="FFFFFFFF"/>
      <name val="&quot;Plus Jakarta Sans&quot;"/>
    </font>
    <font>
      <b/>
      <sz val="11"/>
      <color rgb="FF081F73"/>
      <name val="&quot;Plus Jakarta Sans&quot;"/>
    </font>
    <font>
      <sz val="10"/>
      <color theme="1"/>
      <name val="&quot;Plus Jakarta Sans&quot;"/>
    </font>
    <font>
      <b/>
      <sz val="10"/>
      <color theme="1"/>
      <name val="&quot;Plus Jakarta Sans&quot;"/>
    </font>
    <font>
      <sz val="10"/>
      <color rgb="FF081F73"/>
      <name val="&quot;Plus Jakarta Sans&quot;"/>
    </font>
    <font>
      <sz val="12"/>
      <color theme="1"/>
      <name val="Times New Roman"/>
      <family val="1"/>
    </font>
    <font>
      <i/>
      <sz val="12"/>
      <color theme="1"/>
      <name val="Times New Roman"/>
      <family val="1"/>
    </font>
    <font>
      <b/>
      <i/>
      <sz val="12"/>
      <color theme="1"/>
      <name val="Times New Roman"/>
      <family val="1"/>
    </font>
    <font>
      <b/>
      <sz val="15"/>
      <color theme="1"/>
      <name val="Times New Roman"/>
      <family val="1"/>
    </font>
    <font>
      <sz val="10"/>
      <color theme="1"/>
      <name val="Times New Roman"/>
      <family val="1"/>
    </font>
    <font>
      <u/>
      <sz val="12"/>
      <color rgb="FF0000FF"/>
      <name val="Times New Roman"/>
      <family val="1"/>
    </font>
    <font>
      <b/>
      <sz val="20"/>
      <color theme="1"/>
      <name val="Times New Roman"/>
      <family val="1"/>
    </font>
    <font>
      <sz val="13"/>
      <color theme="1"/>
      <name val="Times New Roman"/>
      <family val="1"/>
    </font>
    <font>
      <i/>
      <sz val="13"/>
      <color theme="1"/>
      <name val="Times New Roman"/>
      <family val="1"/>
    </font>
    <font>
      <b/>
      <sz val="13"/>
      <color theme="1"/>
      <name val="Times New Roman"/>
      <family val="1"/>
    </font>
    <font>
      <b/>
      <sz val="12"/>
      <color rgb="FFFFFFFF"/>
      <name val="Times New Roman"/>
      <family val="1"/>
    </font>
    <font>
      <i/>
      <sz val="10"/>
      <color rgb="FF000000"/>
      <name val="Times New Roman"/>
      <family val="1"/>
    </font>
    <font>
      <sz val="10"/>
      <color theme="1"/>
      <name val="Times New Roman"/>
      <family val="1"/>
    </font>
    <font>
      <sz val="10"/>
      <color rgb="FF000000"/>
      <name val="Times New Roman"/>
      <family val="1"/>
    </font>
    <font>
      <b/>
      <sz val="12"/>
      <color rgb="FF000000"/>
      <name val="Times New Roman"/>
      <family val="1"/>
    </font>
    <font>
      <sz val="12"/>
      <color rgb="FF000000"/>
      <name val="Times New Roman"/>
      <family val="1"/>
    </font>
    <font>
      <i/>
      <sz val="10"/>
      <color theme="1"/>
      <name val="Times New Roman"/>
      <family val="1"/>
    </font>
    <font>
      <i/>
      <sz val="12"/>
      <color rgb="FF000000"/>
      <name val="Times New Roman"/>
      <family val="1"/>
    </font>
    <font>
      <b/>
      <sz val="13"/>
      <color rgb="FFFFFFFF"/>
      <name val="Times New Roman"/>
      <family val="1"/>
    </font>
    <font>
      <b/>
      <sz val="13"/>
      <color rgb="FF081F73"/>
      <name val="Times New Roman"/>
      <family val="1"/>
    </font>
    <font>
      <b/>
      <sz val="13"/>
      <color rgb="FF000000"/>
      <name val="Times New Roman"/>
      <family val="1"/>
    </font>
    <font>
      <b/>
      <u/>
      <sz val="12"/>
      <color theme="1"/>
      <name val="Times New Roman"/>
      <family val="1"/>
    </font>
    <font>
      <b/>
      <sz val="30"/>
      <color rgb="FF00C874"/>
      <name val="Plus Jakarta Sans"/>
    </font>
    <font>
      <b/>
      <sz val="30"/>
      <color rgb="FFFF8300"/>
      <name val="Plus Jakarta Sans"/>
    </font>
    <font>
      <b/>
      <sz val="15"/>
      <color rgb="FF00C874"/>
      <name val="Plus Jakarta Sans"/>
    </font>
    <font>
      <b/>
      <sz val="30"/>
      <color rgb="FFFFB628"/>
      <name val="Plus Jakarta Sans"/>
    </font>
    <font>
      <b/>
      <sz val="15"/>
      <color rgb="FFFFB628"/>
      <name val="Plus Jakarta Sans"/>
    </font>
    <font>
      <b/>
      <sz val="30"/>
      <color rgb="FFFF4A23"/>
      <name val="Plus Jakarta Sans"/>
    </font>
    <font>
      <b/>
      <sz val="15"/>
      <color rgb="FFFF4A23"/>
      <name val="Plus Jakarta Sans"/>
    </font>
    <font>
      <b/>
      <sz val="30"/>
      <color rgb="FFFF0000"/>
      <name val="Plus Jakarta Sans"/>
    </font>
    <font>
      <b/>
      <sz val="15"/>
      <color rgb="FFFF0000"/>
      <name val="Plus Jakarta Sans"/>
    </font>
    <font>
      <b/>
      <sz val="30"/>
      <color rgb="FF6028FF"/>
      <name val="Plus Jakarta Sans"/>
    </font>
    <font>
      <b/>
      <sz val="15"/>
      <color rgb="FF6028FF"/>
      <name val="Plus Jakarta Sans"/>
    </font>
    <font>
      <b/>
      <sz val="30"/>
      <color rgb="FF4398FF"/>
      <name val="Plus Jakarta Sans"/>
    </font>
    <font>
      <b/>
      <sz val="15"/>
      <color rgb="FF4398FF"/>
      <name val="Plus Jakarta Sans"/>
    </font>
    <font>
      <b/>
      <sz val="30"/>
      <color rgb="FF00CB20"/>
      <name val="Plus Jakarta Sans"/>
    </font>
    <font>
      <b/>
      <sz val="15"/>
      <color rgb="FF00CB20"/>
      <name val="Plus Jakarta Sans"/>
    </font>
    <font>
      <b/>
      <sz val="10"/>
      <color rgb="FFFFFFFF"/>
      <name val="Plus Jakarta Sans"/>
    </font>
    <font>
      <b/>
      <sz val="10"/>
      <color rgb="FF00C874"/>
      <name val="Plus Jakarta Sans"/>
    </font>
    <font>
      <b/>
      <sz val="10"/>
      <color rgb="FFFFB628"/>
      <name val="Plus Jakarta Sans"/>
    </font>
    <font>
      <b/>
      <sz val="10"/>
      <color rgb="FFFF4A23"/>
      <name val="Plus Jakarta Sans"/>
    </font>
    <font>
      <b/>
      <sz val="10"/>
      <color rgb="FFFF0000"/>
      <name val="Plus Jakarta Sans"/>
    </font>
    <font>
      <b/>
      <sz val="10"/>
      <color rgb="FF6028FF"/>
      <name val="Plus Jakarta Sans"/>
    </font>
    <font>
      <b/>
      <sz val="10"/>
      <color rgb="FF4398FF"/>
      <name val="Plus Jakarta Sans"/>
    </font>
    <font>
      <b/>
      <sz val="10"/>
      <color rgb="FF00CB20"/>
      <name val="Plus Jakarta Sans"/>
    </font>
    <font>
      <b/>
      <sz val="10"/>
      <color theme="1"/>
      <name val="Plus Jakarta Sans"/>
    </font>
    <font>
      <sz val="10"/>
      <color rgb="FF00C874"/>
      <name val="Plus Jakarta Sans"/>
    </font>
    <font>
      <sz val="10"/>
      <color rgb="FFFFB628"/>
      <name val="Plus Jakarta Sans"/>
    </font>
    <font>
      <sz val="10"/>
      <color rgb="FFFF4A23"/>
      <name val="Plus Jakarta Sans"/>
    </font>
    <font>
      <sz val="10"/>
      <color rgb="FFFF0000"/>
      <name val="Plus Jakarta Sans"/>
    </font>
    <font>
      <sz val="10"/>
      <color rgb="FF6028FF"/>
      <name val="Plus Jakarta Sans"/>
    </font>
    <font>
      <sz val="10"/>
      <color rgb="FF4398FF"/>
      <name val="Plus Jakarta Sans"/>
    </font>
    <font>
      <sz val="10"/>
      <color rgb="FF00CB20"/>
      <name val="Plus Jakarta Sans"/>
    </font>
    <font>
      <i/>
      <sz val="10"/>
      <color rgb="FF00C874"/>
      <name val="Plus Jakarta Sans"/>
    </font>
    <font>
      <sz val="12"/>
      <name val="Times New Roman"/>
      <family val="1"/>
    </font>
    <font>
      <u/>
      <sz val="12"/>
      <color rgb="FF1155CC"/>
      <name val="Times New Roman"/>
      <family val="1"/>
    </font>
    <font>
      <b/>
      <sz val="12"/>
      <color theme="1"/>
      <name val="Times New Roman"/>
      <family val="1"/>
    </font>
    <font>
      <sz val="12"/>
      <color theme="1"/>
      <name val="Times New Roman"/>
      <family val="1"/>
    </font>
    <font>
      <sz val="12"/>
      <color rgb="FF000000"/>
      <name val="Times New Roman"/>
      <family val="1"/>
    </font>
    <font>
      <b/>
      <sz val="12"/>
      <color rgb="FF000000"/>
      <name val="Times New Roman"/>
      <family val="1"/>
    </font>
    <font>
      <sz val="8"/>
      <name val="Arial"/>
      <family val="2"/>
      <scheme val="minor"/>
    </font>
  </fonts>
  <fills count="21">
    <fill>
      <patternFill patternType="none"/>
    </fill>
    <fill>
      <patternFill patternType="gray125"/>
    </fill>
    <fill>
      <patternFill patternType="solid">
        <fgColor rgb="FFD9D9D9"/>
        <bgColor rgb="FFD9D9D9"/>
      </patternFill>
    </fill>
    <fill>
      <patternFill patternType="solid">
        <fgColor rgb="FF1C4587"/>
        <bgColor rgb="FF1C4587"/>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081F73"/>
        <bgColor rgb="FF081F73"/>
      </patternFill>
    </fill>
    <fill>
      <patternFill patternType="solid">
        <fgColor rgb="FF52565E"/>
        <bgColor rgb="FF52565E"/>
      </patternFill>
    </fill>
    <fill>
      <patternFill patternType="solid">
        <fgColor rgb="FF00C874"/>
        <bgColor rgb="FF00C874"/>
      </patternFill>
    </fill>
    <fill>
      <patternFill patternType="solid">
        <fgColor rgb="FFFFB628"/>
        <bgColor rgb="FFFFB628"/>
      </patternFill>
    </fill>
    <fill>
      <patternFill patternType="solid">
        <fgColor rgb="FFFF4A23"/>
        <bgColor rgb="FFFF4A23"/>
      </patternFill>
    </fill>
    <fill>
      <patternFill patternType="solid">
        <fgColor rgb="FFFF0000"/>
        <bgColor rgb="FFFF0000"/>
      </patternFill>
    </fill>
    <fill>
      <patternFill patternType="solid">
        <fgColor rgb="FF6028FF"/>
        <bgColor rgb="FF6028FF"/>
      </patternFill>
    </fill>
    <fill>
      <patternFill patternType="solid">
        <fgColor rgb="FF4398FF"/>
        <bgColor rgb="FF4398FF"/>
      </patternFill>
    </fill>
    <fill>
      <patternFill patternType="solid">
        <fgColor rgb="FF00CB20"/>
        <bgColor rgb="FF00CB20"/>
      </patternFill>
    </fill>
    <fill>
      <patternFill patternType="solid">
        <fgColor theme="0" tint="-0.14999847407452621"/>
        <bgColor indexed="64"/>
      </patternFill>
    </fill>
    <fill>
      <patternFill patternType="solid">
        <fgColor theme="0"/>
        <bgColor rgb="FFD9D9D9"/>
      </patternFill>
    </fill>
    <fill>
      <patternFill patternType="solid">
        <fgColor theme="0"/>
        <bgColor indexed="64"/>
      </patternFill>
    </fill>
    <fill>
      <patternFill patternType="solid">
        <fgColor theme="2" tint="-0.14999847407452621"/>
        <bgColor rgb="FFD9D9D9"/>
      </patternFill>
    </fill>
    <fill>
      <patternFill patternType="solid">
        <fgColor theme="2" tint="-0.14999847407452621"/>
        <bgColor indexed="64"/>
      </patternFill>
    </fill>
  </fills>
  <borders count="363">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FFFFFF"/>
      </left>
      <right style="thin">
        <color rgb="FFFFFFFF"/>
      </right>
      <top/>
      <bottom/>
      <diagonal/>
    </border>
    <border>
      <left/>
      <right/>
      <top/>
      <bottom style="thick">
        <color rgb="FF666666"/>
      </bottom>
      <diagonal/>
    </border>
    <border>
      <left style="thin">
        <color rgb="FFFFFFFF"/>
      </left>
      <right style="thin">
        <color rgb="FFFFFFFF"/>
      </right>
      <top/>
      <bottom style="thick">
        <color rgb="FF666666"/>
      </bottom>
      <diagonal/>
    </border>
    <border>
      <left style="medium">
        <color rgb="FF1C4587"/>
      </left>
      <right/>
      <top style="medium">
        <color rgb="FF1C4587"/>
      </top>
      <bottom/>
      <diagonal/>
    </border>
    <border>
      <left/>
      <right/>
      <top style="medium">
        <color rgb="FF1C4587"/>
      </top>
      <bottom/>
      <diagonal/>
    </border>
    <border>
      <left/>
      <right style="thin">
        <color rgb="FFFFFFFF"/>
      </right>
      <top style="medium">
        <color rgb="FF1C4587"/>
      </top>
      <bottom/>
      <diagonal/>
    </border>
    <border>
      <left style="thin">
        <color rgb="FFFFFFFF"/>
      </left>
      <right style="thin">
        <color rgb="FFFFFFFF"/>
      </right>
      <top style="medium">
        <color rgb="FF1C4587"/>
      </top>
      <bottom/>
      <diagonal/>
    </border>
    <border>
      <left style="thin">
        <color rgb="FFFFFFFF"/>
      </left>
      <right style="medium">
        <color rgb="FF1C4587"/>
      </right>
      <top style="medium">
        <color rgb="FF1C4587"/>
      </top>
      <bottom/>
      <diagonal/>
    </border>
    <border>
      <left style="medium">
        <color rgb="FF1C4587"/>
      </left>
      <right/>
      <top style="thin">
        <color rgb="FFF3F3F3"/>
      </top>
      <bottom style="hair">
        <color rgb="FFCCCCCC"/>
      </bottom>
      <diagonal/>
    </border>
    <border>
      <left/>
      <right/>
      <top style="thin">
        <color rgb="FFF3F3F3"/>
      </top>
      <bottom style="hair">
        <color rgb="FFCCCCCC"/>
      </bottom>
      <diagonal/>
    </border>
    <border>
      <left/>
      <right style="medium">
        <color rgb="FF1C4587"/>
      </right>
      <top style="thin">
        <color rgb="FFF3F3F3"/>
      </top>
      <bottom style="hair">
        <color rgb="FFCCCCCC"/>
      </bottom>
      <diagonal/>
    </border>
    <border>
      <left style="medium">
        <color rgb="FF1C4587"/>
      </left>
      <right/>
      <top/>
      <bottom/>
      <diagonal/>
    </border>
    <border>
      <left style="medium">
        <color rgb="FF1C4587"/>
      </left>
      <right style="thin">
        <color rgb="FFFFFFFF"/>
      </right>
      <top style="hair">
        <color rgb="FFD9D9D9"/>
      </top>
      <bottom style="hair">
        <color rgb="FFD9D9D9"/>
      </bottom>
      <diagonal/>
    </border>
    <border>
      <left style="thin">
        <color rgb="FFFFFFFF"/>
      </left>
      <right style="thin">
        <color rgb="FFFFFFFF"/>
      </right>
      <top style="hair">
        <color rgb="FFD9D9D9"/>
      </top>
      <bottom style="hair">
        <color rgb="FFD9D9D9"/>
      </bottom>
      <diagonal/>
    </border>
    <border>
      <left style="thin">
        <color rgb="FFFFFFFF"/>
      </left>
      <right/>
      <top style="hair">
        <color rgb="FFD9D9D9"/>
      </top>
      <bottom style="hair">
        <color rgb="FFD9D9D9"/>
      </bottom>
      <diagonal/>
    </border>
    <border>
      <left style="thin">
        <color rgb="FFFFFFFF"/>
      </left>
      <right style="thin">
        <color rgb="FFFFFFFF"/>
      </right>
      <top/>
      <bottom style="hair">
        <color rgb="FFD9D9D9"/>
      </bottom>
      <diagonal/>
    </border>
    <border>
      <left/>
      <right style="thin">
        <color rgb="FFFFFFFF"/>
      </right>
      <top style="hair">
        <color rgb="FFD9D9D9"/>
      </top>
      <bottom style="hair">
        <color rgb="FFD9D9D9"/>
      </bottom>
      <diagonal/>
    </border>
    <border>
      <left style="medium">
        <color rgb="FF1C4587"/>
      </left>
      <right style="thin">
        <color rgb="FFFFFFFF"/>
      </right>
      <top/>
      <bottom style="hair">
        <color rgb="FFD9D9D9"/>
      </bottom>
      <diagonal/>
    </border>
    <border>
      <left style="thin">
        <color rgb="FFFFFFFF"/>
      </left>
      <right/>
      <top/>
      <bottom style="hair">
        <color rgb="FFD9D9D9"/>
      </bottom>
      <diagonal/>
    </border>
    <border>
      <left/>
      <right style="thin">
        <color rgb="FFFFFFFF"/>
      </right>
      <top/>
      <bottom style="hair">
        <color rgb="FFD9D9D9"/>
      </bottom>
      <diagonal/>
    </border>
    <border>
      <left style="thin">
        <color rgb="FFFFFFFF"/>
      </left>
      <right style="medium">
        <color rgb="FF1C4587"/>
      </right>
      <top/>
      <bottom style="hair">
        <color rgb="FFD9D9D9"/>
      </bottom>
      <diagonal/>
    </border>
    <border>
      <left style="thin">
        <color rgb="FFFFFFFF"/>
      </left>
      <right/>
      <top style="hair">
        <color rgb="FFD9D9D9"/>
      </top>
      <bottom/>
      <diagonal/>
    </border>
    <border>
      <left/>
      <right style="thin">
        <color rgb="FFFFFFFF"/>
      </right>
      <top style="hair">
        <color rgb="FFD9D9D9"/>
      </top>
      <bottom/>
      <diagonal/>
    </border>
    <border>
      <left style="medium">
        <color rgb="FF1C4587"/>
      </left>
      <right style="thin">
        <color rgb="FFFFFFFF"/>
      </right>
      <top/>
      <bottom/>
      <diagonal/>
    </border>
    <border>
      <left/>
      <right style="thin">
        <color rgb="FFFFFFFF"/>
      </right>
      <top/>
      <bottom/>
      <diagonal/>
    </border>
    <border>
      <left style="thin">
        <color rgb="FFFFFFFF"/>
      </left>
      <right style="medium">
        <color rgb="FF1C4587"/>
      </right>
      <top/>
      <bottom/>
      <diagonal/>
    </border>
    <border>
      <left style="thin">
        <color rgb="FFFFFFFF"/>
      </left>
      <right style="thin">
        <color rgb="FFFFFFFF"/>
      </right>
      <top style="hair">
        <color rgb="FFCCCCCC"/>
      </top>
      <bottom/>
      <diagonal/>
    </border>
    <border>
      <left style="medium">
        <color rgb="FF1C4587"/>
      </left>
      <right style="thin">
        <color rgb="FFFFFFFF"/>
      </right>
      <top style="hair">
        <color rgb="FFCCCCCC"/>
      </top>
      <bottom style="hair">
        <color rgb="FFD9D9D9"/>
      </bottom>
      <diagonal/>
    </border>
    <border>
      <left style="thin">
        <color rgb="FFFFFFFF"/>
      </left>
      <right style="thin">
        <color rgb="FFFFFFFF"/>
      </right>
      <top style="hair">
        <color rgb="FFCCCCCC"/>
      </top>
      <bottom style="hair">
        <color rgb="FFD9D9D9"/>
      </bottom>
      <diagonal/>
    </border>
    <border>
      <left style="thin">
        <color rgb="FFFFFFFF"/>
      </left>
      <right/>
      <top style="hair">
        <color rgb="FFCCCCCC"/>
      </top>
      <bottom style="hair">
        <color rgb="FFD9D9D9"/>
      </bottom>
      <diagonal/>
    </border>
    <border>
      <left/>
      <right/>
      <top style="hair">
        <color rgb="FFCCCCCC"/>
      </top>
      <bottom style="hair">
        <color rgb="FFD9D9D9"/>
      </bottom>
      <diagonal/>
    </border>
    <border>
      <left/>
      <right style="thin">
        <color rgb="FFFFFFFF"/>
      </right>
      <top style="hair">
        <color rgb="FFCCCCCC"/>
      </top>
      <bottom style="hair">
        <color rgb="FFD9D9D9"/>
      </bottom>
      <diagonal/>
    </border>
    <border>
      <left style="thin">
        <color rgb="FFFFFFFF"/>
      </left>
      <right style="medium">
        <color rgb="FF1C4587"/>
      </right>
      <top style="hair">
        <color rgb="FFCCCCCC"/>
      </top>
      <bottom/>
      <diagonal/>
    </border>
    <border>
      <left/>
      <right/>
      <top style="hair">
        <color rgb="FFD9D9D9"/>
      </top>
      <bottom style="hair">
        <color rgb="FFD9D9D9"/>
      </bottom>
      <diagonal/>
    </border>
    <border>
      <left/>
      <right/>
      <top style="hair">
        <color rgb="FFD9D9D9"/>
      </top>
      <bottom/>
      <diagonal/>
    </border>
    <border>
      <left/>
      <right/>
      <top/>
      <bottom style="hair">
        <color rgb="FFD9D9D9"/>
      </bottom>
      <diagonal/>
    </border>
    <border>
      <left style="medium">
        <color rgb="FF1C4587"/>
      </left>
      <right style="thin">
        <color rgb="FFFFFFFF"/>
      </right>
      <top style="hair">
        <color rgb="FFD9D9D9"/>
      </top>
      <bottom style="thin">
        <color rgb="FFF3F3F3"/>
      </bottom>
      <diagonal/>
    </border>
    <border>
      <left style="thin">
        <color rgb="FFFFFFFF"/>
      </left>
      <right style="thin">
        <color rgb="FFFFFFFF"/>
      </right>
      <top style="hair">
        <color rgb="FFD9D9D9"/>
      </top>
      <bottom style="thin">
        <color rgb="FFF3F3F3"/>
      </bottom>
      <diagonal/>
    </border>
    <border>
      <left style="thin">
        <color rgb="FFFFFFFF"/>
      </left>
      <right/>
      <top style="hair">
        <color rgb="FFD9D9D9"/>
      </top>
      <bottom style="thin">
        <color rgb="FFF3F3F3"/>
      </bottom>
      <diagonal/>
    </border>
    <border>
      <left/>
      <right/>
      <top style="hair">
        <color rgb="FFD9D9D9"/>
      </top>
      <bottom style="thin">
        <color rgb="FFF3F3F3"/>
      </bottom>
      <diagonal/>
    </border>
    <border>
      <left/>
      <right style="thin">
        <color rgb="FFFFFFFF"/>
      </right>
      <top style="hair">
        <color rgb="FFD9D9D9"/>
      </top>
      <bottom style="thin">
        <color rgb="FFF3F3F3"/>
      </bottom>
      <diagonal/>
    </border>
    <border>
      <left style="thin">
        <color rgb="FFFFFFFF"/>
      </left>
      <right style="medium">
        <color rgb="FF1C4587"/>
      </right>
      <top/>
      <bottom style="thin">
        <color rgb="FFF3F3F3"/>
      </bottom>
      <diagonal/>
    </border>
    <border>
      <left style="medium">
        <color rgb="FF1C4587"/>
      </left>
      <right/>
      <top/>
      <bottom style="medium">
        <color rgb="FF1C4587"/>
      </bottom>
      <diagonal/>
    </border>
    <border>
      <left/>
      <right/>
      <top/>
      <bottom style="medium">
        <color rgb="FF1C4587"/>
      </bottom>
      <diagonal/>
    </border>
    <border>
      <left/>
      <right style="thin">
        <color rgb="FF000000"/>
      </right>
      <top/>
      <bottom style="medium">
        <color rgb="FF1C4587"/>
      </bottom>
      <diagonal/>
    </border>
    <border>
      <left style="thin">
        <color rgb="FF000000"/>
      </left>
      <right style="medium">
        <color rgb="FF1C4587"/>
      </right>
      <top/>
      <bottom style="medium">
        <color rgb="FF1C4587"/>
      </bottom>
      <diagonal/>
    </border>
    <border>
      <left/>
      <right style="thick">
        <color rgb="FF081F73"/>
      </right>
      <top/>
      <bottom/>
      <diagonal/>
    </border>
    <border>
      <left/>
      <right style="medium">
        <color rgb="FF081F73"/>
      </right>
      <top/>
      <bottom/>
      <diagonal/>
    </border>
    <border>
      <left/>
      <right style="hair">
        <color rgb="FFEFEFEF"/>
      </right>
      <top/>
      <bottom/>
      <diagonal/>
    </border>
    <border>
      <left/>
      <right style="hair">
        <color rgb="FFEFEFEF"/>
      </right>
      <top style="hair">
        <color rgb="FFEFEFEF"/>
      </top>
      <bottom style="hair">
        <color rgb="FFEFEFEF"/>
      </bottom>
      <diagonal/>
    </border>
    <border>
      <left style="hair">
        <color rgb="FFEFEFEF"/>
      </left>
      <right style="hair">
        <color rgb="FFEFEFEF"/>
      </right>
      <top style="hair">
        <color rgb="FFEFEFEF"/>
      </top>
      <bottom style="hair">
        <color rgb="FFEFEFEF"/>
      </bottom>
      <diagonal/>
    </border>
    <border>
      <left/>
      <right style="hair">
        <color rgb="FFEFEFEF"/>
      </right>
      <top/>
      <bottom style="medium">
        <color rgb="FF081F73"/>
      </bottom>
      <diagonal/>
    </border>
    <border>
      <left style="hair">
        <color rgb="FFEFEFEF"/>
      </left>
      <right style="hair">
        <color rgb="FFEFEFEF"/>
      </right>
      <top style="hair">
        <color rgb="FFEFEFEF"/>
      </top>
      <bottom/>
      <diagonal/>
    </border>
    <border>
      <left/>
      <right style="medium">
        <color rgb="FF081F73"/>
      </right>
      <top/>
      <bottom style="medium">
        <color rgb="FF081F73"/>
      </bottom>
      <diagonal/>
    </border>
    <border>
      <left style="medium">
        <color rgb="FF081F73"/>
      </left>
      <right style="medium">
        <color rgb="FF081F73"/>
      </right>
      <top style="medium">
        <color rgb="FF081F73"/>
      </top>
      <bottom style="medium">
        <color rgb="FF081F73"/>
      </bottom>
      <diagonal/>
    </border>
    <border>
      <left/>
      <right style="medium">
        <color rgb="FF081F73"/>
      </right>
      <top style="medium">
        <color rgb="FF081F73"/>
      </top>
      <bottom style="medium">
        <color rgb="FF081F73"/>
      </bottom>
      <diagonal/>
    </border>
    <border>
      <left/>
      <right/>
      <top/>
      <bottom style="medium">
        <color rgb="FF081F73"/>
      </bottom>
      <diagonal/>
    </border>
    <border>
      <left/>
      <right/>
      <top/>
      <bottom style="hair">
        <color rgb="FF081F73"/>
      </bottom>
      <diagonal/>
    </border>
    <border>
      <left/>
      <right style="hair">
        <color rgb="FF081F73"/>
      </right>
      <top/>
      <bottom style="hair">
        <color rgb="FF081F73"/>
      </bottom>
      <diagonal/>
    </border>
    <border>
      <left/>
      <right style="medium">
        <color rgb="FF081F73"/>
      </right>
      <top/>
      <bottom style="hair">
        <color rgb="FF081F73"/>
      </bottom>
      <diagonal/>
    </border>
    <border>
      <left style="medium">
        <color rgb="FF081F73"/>
      </left>
      <right/>
      <top/>
      <bottom style="hair">
        <color rgb="FF081F73"/>
      </bottom>
      <diagonal/>
    </border>
    <border>
      <left style="hair">
        <color rgb="FFFFB628"/>
      </left>
      <right style="medium">
        <color rgb="FFFFB628"/>
      </right>
      <top/>
      <bottom style="hair">
        <color rgb="FFFFB628"/>
      </bottom>
      <diagonal/>
    </border>
    <border>
      <left/>
      <right style="hair">
        <color rgb="FF081F73"/>
      </right>
      <top/>
      <bottom style="medium">
        <color rgb="FF081F73"/>
      </bottom>
      <diagonal/>
    </border>
    <border>
      <left style="medium">
        <color rgb="FF081F73"/>
      </left>
      <right/>
      <top/>
      <bottom style="medium">
        <color rgb="FF081F73"/>
      </bottom>
      <diagonal/>
    </border>
    <border>
      <left style="medium">
        <color rgb="FF081F73"/>
      </left>
      <right style="hair">
        <color rgb="FFEFEFEF"/>
      </right>
      <top style="medium">
        <color rgb="FF081F73"/>
      </top>
      <bottom style="hair">
        <color rgb="FF081F73"/>
      </bottom>
      <diagonal/>
    </border>
    <border>
      <left style="hair">
        <color rgb="FFEFEFEF"/>
      </left>
      <right style="hair">
        <color rgb="FFEFEFEF"/>
      </right>
      <top/>
      <bottom style="hair">
        <color rgb="FF081F73"/>
      </bottom>
      <diagonal/>
    </border>
    <border>
      <left style="medium">
        <color rgb="FF081F73"/>
      </left>
      <right style="hair">
        <color rgb="FFEFEFEF"/>
      </right>
      <top style="hair">
        <color rgb="FF081F73"/>
      </top>
      <bottom style="hair">
        <color rgb="FF081F73"/>
      </bottom>
      <diagonal/>
    </border>
    <border>
      <left style="medium">
        <color rgb="FF081F73"/>
      </left>
      <right style="hair">
        <color rgb="FFEFEFEF"/>
      </right>
      <top style="hair">
        <color rgb="FF081F73"/>
      </top>
      <bottom style="medium">
        <color rgb="FF081F73"/>
      </bottom>
      <diagonal/>
    </border>
    <border>
      <left style="hair">
        <color rgb="FFEFEFEF"/>
      </left>
      <right style="hair">
        <color rgb="FFEFEFEF"/>
      </right>
      <top/>
      <bottom style="medium">
        <color rgb="FF081F73"/>
      </bottom>
      <diagonal/>
    </border>
    <border>
      <left style="medium">
        <color rgb="FF081F73"/>
      </left>
      <right/>
      <top style="medium">
        <color rgb="FF081F73"/>
      </top>
      <bottom style="hair">
        <color rgb="FF081F73"/>
      </bottom>
      <diagonal/>
    </border>
    <border>
      <left/>
      <right/>
      <top style="medium">
        <color rgb="FF081F73"/>
      </top>
      <bottom style="hair">
        <color rgb="FF081F73"/>
      </bottom>
      <diagonal/>
    </border>
    <border>
      <left/>
      <right style="hair">
        <color rgb="FF081F73"/>
      </right>
      <top style="medium">
        <color rgb="FF081F73"/>
      </top>
      <bottom style="hair">
        <color rgb="FF081F73"/>
      </bottom>
      <diagonal/>
    </border>
    <border>
      <left style="hair">
        <color rgb="FF081F73"/>
      </left>
      <right style="hair">
        <color rgb="FF081F73"/>
      </right>
      <top style="medium">
        <color rgb="FF081F73"/>
      </top>
      <bottom style="hair">
        <color rgb="FF081F73"/>
      </bottom>
      <diagonal/>
    </border>
    <border>
      <left style="hair">
        <color rgb="FF081F73"/>
      </left>
      <right style="medium">
        <color rgb="FF081F73"/>
      </right>
      <top style="medium">
        <color rgb="FF081F73"/>
      </top>
      <bottom style="hair">
        <color rgb="FF081F73"/>
      </bottom>
      <diagonal/>
    </border>
    <border>
      <left style="medium">
        <color rgb="FF081F73"/>
      </left>
      <right/>
      <top style="hair">
        <color rgb="FF081F73"/>
      </top>
      <bottom style="hair">
        <color rgb="FF081F73"/>
      </bottom>
      <diagonal/>
    </border>
    <border>
      <left/>
      <right/>
      <top style="hair">
        <color rgb="FF081F73"/>
      </top>
      <bottom style="hair">
        <color rgb="FF081F73"/>
      </bottom>
      <diagonal/>
    </border>
    <border>
      <left/>
      <right style="hair">
        <color rgb="FF081F73"/>
      </right>
      <top style="hair">
        <color rgb="FF081F73"/>
      </top>
      <bottom style="hair">
        <color rgb="FF081F73"/>
      </bottom>
      <diagonal/>
    </border>
    <border>
      <left style="hair">
        <color rgb="FF081F73"/>
      </left>
      <right style="hair">
        <color rgb="FF081F73"/>
      </right>
      <top style="hair">
        <color rgb="FF081F73"/>
      </top>
      <bottom style="hair">
        <color rgb="FF081F73"/>
      </bottom>
      <diagonal/>
    </border>
    <border>
      <left style="hair">
        <color rgb="FF081F73"/>
      </left>
      <right style="medium">
        <color rgb="FF081F73"/>
      </right>
      <top style="hair">
        <color rgb="FF081F73"/>
      </top>
      <bottom style="hair">
        <color rgb="FF081F73"/>
      </bottom>
      <diagonal/>
    </border>
    <border>
      <left style="medium">
        <color rgb="FF081F73"/>
      </left>
      <right/>
      <top style="hair">
        <color rgb="FF081F73"/>
      </top>
      <bottom style="medium">
        <color rgb="FF081F73"/>
      </bottom>
      <diagonal/>
    </border>
    <border>
      <left/>
      <right/>
      <top style="hair">
        <color rgb="FF081F73"/>
      </top>
      <bottom style="medium">
        <color rgb="FF081F73"/>
      </bottom>
      <diagonal/>
    </border>
    <border>
      <left/>
      <right style="hair">
        <color rgb="FF081F73"/>
      </right>
      <top style="hair">
        <color rgb="FF081F73"/>
      </top>
      <bottom style="medium">
        <color rgb="FF081F73"/>
      </bottom>
      <diagonal/>
    </border>
    <border>
      <left style="hair">
        <color rgb="FF081F73"/>
      </left>
      <right style="hair">
        <color rgb="FF081F73"/>
      </right>
      <top style="hair">
        <color rgb="FF081F73"/>
      </top>
      <bottom style="medium">
        <color rgb="FF081F73"/>
      </bottom>
      <diagonal/>
    </border>
    <border>
      <left style="hair">
        <color rgb="FF081F73"/>
      </left>
      <right style="medium">
        <color rgb="FF081F73"/>
      </right>
      <top style="hair">
        <color rgb="FF081F73"/>
      </top>
      <bottom style="medium">
        <color rgb="FF081F73"/>
      </bottom>
      <diagonal/>
    </border>
    <border>
      <left/>
      <right style="medium">
        <color rgb="FFFF8300"/>
      </right>
      <top/>
      <bottom/>
      <diagonal/>
    </border>
    <border>
      <left/>
      <right style="medium">
        <color rgb="FF081F73"/>
      </right>
      <top style="medium">
        <color rgb="FF081F73"/>
      </top>
      <bottom style="hair">
        <color rgb="FF081F73"/>
      </bottom>
      <diagonal/>
    </border>
    <border>
      <left/>
      <right style="medium">
        <color rgb="FF081F73"/>
      </right>
      <top style="hair">
        <color rgb="FF081F73"/>
      </top>
      <bottom style="hair">
        <color rgb="FF081F73"/>
      </bottom>
      <diagonal/>
    </border>
    <border>
      <left/>
      <right style="medium">
        <color rgb="FF081F73"/>
      </right>
      <top style="hair">
        <color rgb="FF081F73"/>
      </top>
      <bottom style="medium">
        <color rgb="FF081F73"/>
      </bottom>
      <diagonal/>
    </border>
    <border>
      <left style="medium">
        <color rgb="FF1C4587"/>
      </left>
      <right style="thin">
        <color rgb="FFF3F3F3"/>
      </right>
      <top style="hair">
        <color rgb="FFCCCCCC"/>
      </top>
      <bottom style="thin">
        <color rgb="FFF3F3F3"/>
      </bottom>
      <diagonal/>
    </border>
    <border>
      <left style="thin">
        <color rgb="FFF3F3F3"/>
      </left>
      <right/>
      <top style="hair">
        <color rgb="FFCCCCCC"/>
      </top>
      <bottom style="thin">
        <color rgb="FFF3F3F3"/>
      </bottom>
      <diagonal/>
    </border>
    <border>
      <left/>
      <right/>
      <top style="hair">
        <color rgb="FFCCCCCC"/>
      </top>
      <bottom style="thin">
        <color rgb="FFF3F3F3"/>
      </bottom>
      <diagonal/>
    </border>
    <border>
      <left/>
      <right style="thin">
        <color rgb="FFF3F3F3"/>
      </right>
      <top style="hair">
        <color rgb="FFCCCCCC"/>
      </top>
      <bottom style="thin">
        <color rgb="FFF3F3F3"/>
      </bottom>
      <diagonal/>
    </border>
    <border>
      <left style="thin">
        <color rgb="FFF3F3F3"/>
      </left>
      <right style="thin">
        <color rgb="FFF3F3F3"/>
      </right>
      <top style="hair">
        <color rgb="FFCCCCCC"/>
      </top>
      <bottom style="thin">
        <color rgb="FFF3F3F3"/>
      </bottom>
      <diagonal/>
    </border>
    <border>
      <left style="thin">
        <color rgb="FFF3F3F3"/>
      </left>
      <right style="medium">
        <color rgb="FF1C4587"/>
      </right>
      <top style="hair">
        <color rgb="FFCCCCCC"/>
      </top>
      <bottom style="thin">
        <color rgb="FFF3F3F3"/>
      </bottom>
      <diagonal/>
    </border>
    <border>
      <left style="thin">
        <color rgb="FFFFFFFF"/>
      </left>
      <right/>
      <top style="medium">
        <color rgb="FF1C4587"/>
      </top>
      <bottom/>
      <diagonal/>
    </border>
    <border>
      <left style="thin">
        <color rgb="FFFFFFFF"/>
      </left>
      <right style="thin">
        <color rgb="FF1C4587"/>
      </right>
      <top style="medium">
        <color rgb="FF1C4587"/>
      </top>
      <bottom/>
      <diagonal/>
    </border>
    <border>
      <left style="medium">
        <color rgb="FF1C4587"/>
      </left>
      <right style="thin">
        <color rgb="FFFFFFFF"/>
      </right>
      <top style="hair">
        <color rgb="FFCCCCCC"/>
      </top>
      <bottom/>
      <diagonal/>
    </border>
    <border>
      <left style="thin">
        <color rgb="FFFFFFFF"/>
      </left>
      <right/>
      <top style="hair">
        <color rgb="FFCCCCCC"/>
      </top>
      <bottom/>
      <diagonal/>
    </border>
    <border>
      <left/>
      <right style="thin">
        <color rgb="FFFFFFFF"/>
      </right>
      <top style="hair">
        <color rgb="FFCCCCCC"/>
      </top>
      <bottom/>
      <diagonal/>
    </border>
    <border>
      <left style="medium">
        <color rgb="FF1C4587"/>
      </left>
      <right/>
      <top style="thin">
        <color rgb="FF1C4587"/>
      </top>
      <bottom/>
      <diagonal/>
    </border>
    <border>
      <left/>
      <right/>
      <top style="thin">
        <color rgb="FF1C4587"/>
      </top>
      <bottom/>
      <diagonal/>
    </border>
    <border>
      <left/>
      <right style="thin">
        <color rgb="FFFFFFFF"/>
      </right>
      <top style="thin">
        <color rgb="FF1C4587"/>
      </top>
      <bottom/>
      <diagonal/>
    </border>
    <border>
      <left style="thin">
        <color rgb="FFFFFFFF"/>
      </left>
      <right/>
      <top style="thin">
        <color rgb="FF1C4587"/>
      </top>
      <bottom/>
      <diagonal/>
    </border>
    <border>
      <left style="thin">
        <color rgb="FFFFFFFF"/>
      </left>
      <right style="medium">
        <color rgb="FF1C4587"/>
      </right>
      <top style="thin">
        <color rgb="FF1C4587"/>
      </top>
      <bottom/>
      <diagonal/>
    </border>
    <border>
      <left style="thin">
        <color rgb="FFFFFFFF"/>
      </left>
      <right style="thin">
        <color rgb="FFFFFFFF"/>
      </right>
      <top style="hair">
        <color rgb="FFCCCCCC"/>
      </top>
      <bottom style="thin">
        <color rgb="FF1C4587"/>
      </bottom>
      <diagonal/>
    </border>
    <border>
      <left/>
      <right style="thick">
        <color rgb="FF00C874"/>
      </right>
      <top/>
      <bottom/>
      <diagonal/>
    </border>
    <border>
      <left/>
      <right style="thick">
        <color rgb="FFFFB628"/>
      </right>
      <top/>
      <bottom/>
      <diagonal/>
    </border>
    <border>
      <left/>
      <right style="thick">
        <color rgb="FFFF4A23"/>
      </right>
      <top/>
      <bottom/>
      <diagonal/>
    </border>
    <border>
      <left/>
      <right style="thick">
        <color rgb="FFFF0000"/>
      </right>
      <top/>
      <bottom/>
      <diagonal/>
    </border>
    <border>
      <left/>
      <right style="thick">
        <color rgb="FF6028FF"/>
      </right>
      <top/>
      <bottom/>
      <diagonal/>
    </border>
    <border>
      <left/>
      <right style="thick">
        <color rgb="FF4398FF"/>
      </right>
      <top/>
      <bottom/>
      <diagonal/>
    </border>
    <border>
      <left/>
      <right style="thick">
        <color rgb="FF00CB20"/>
      </right>
      <top/>
      <bottom/>
      <diagonal/>
    </border>
    <border>
      <left style="medium">
        <color rgb="FF00C874"/>
      </left>
      <right style="medium">
        <color rgb="FF00C874"/>
      </right>
      <top style="medium">
        <color rgb="FF00C874"/>
      </top>
      <bottom style="medium">
        <color rgb="FF00C874"/>
      </bottom>
      <diagonal/>
    </border>
    <border>
      <left style="medium">
        <color rgb="FFFFB628"/>
      </left>
      <right style="medium">
        <color rgb="FFFFB628"/>
      </right>
      <top style="medium">
        <color rgb="FFFFB628"/>
      </top>
      <bottom style="medium">
        <color rgb="FFFFB628"/>
      </bottom>
      <diagonal/>
    </border>
    <border>
      <left style="medium">
        <color rgb="FFFF4A23"/>
      </left>
      <right style="medium">
        <color rgb="FFFF4A23"/>
      </right>
      <top style="medium">
        <color rgb="FFFF4A23"/>
      </top>
      <bottom style="medium">
        <color rgb="FFFF4A23"/>
      </bottom>
      <diagonal/>
    </border>
    <border>
      <left style="medium">
        <color rgb="FFFF0000"/>
      </left>
      <right style="medium">
        <color rgb="FFFF0000"/>
      </right>
      <top style="medium">
        <color rgb="FFFF0000"/>
      </top>
      <bottom style="medium">
        <color rgb="FFFF0000"/>
      </bottom>
      <diagonal/>
    </border>
    <border>
      <left style="medium">
        <color rgb="FF6028FF"/>
      </left>
      <right style="medium">
        <color rgb="FF6028FF"/>
      </right>
      <top style="medium">
        <color rgb="FF6028FF"/>
      </top>
      <bottom style="medium">
        <color rgb="FF6028FF"/>
      </bottom>
      <diagonal/>
    </border>
    <border>
      <left style="medium">
        <color rgb="FF4398FF"/>
      </left>
      <right style="medium">
        <color rgb="FF4398FF"/>
      </right>
      <top style="medium">
        <color rgb="FF4398FF"/>
      </top>
      <bottom style="medium">
        <color rgb="FF4398FF"/>
      </bottom>
      <diagonal/>
    </border>
    <border>
      <left style="medium">
        <color rgb="FF00CB20"/>
      </left>
      <right style="medium">
        <color rgb="FF00CB20"/>
      </right>
      <top style="medium">
        <color rgb="FF00CB20"/>
      </top>
      <bottom style="medium">
        <color rgb="FF00CB20"/>
      </bottom>
      <diagonal/>
    </border>
    <border>
      <left style="medium">
        <color rgb="FF00C874"/>
      </left>
      <right/>
      <top style="medium">
        <color rgb="FF00C874"/>
      </top>
      <bottom style="thin">
        <color rgb="FF00C874"/>
      </bottom>
      <diagonal/>
    </border>
    <border>
      <left/>
      <right/>
      <top style="medium">
        <color rgb="FF00C874"/>
      </top>
      <bottom style="thin">
        <color rgb="FF00C874"/>
      </bottom>
      <diagonal/>
    </border>
    <border>
      <left/>
      <right style="medium">
        <color rgb="FF00C874"/>
      </right>
      <top style="medium">
        <color rgb="FF00C874"/>
      </top>
      <bottom style="thin">
        <color rgb="FF00C874"/>
      </bottom>
      <diagonal/>
    </border>
    <border>
      <left style="medium">
        <color rgb="FFFFB628"/>
      </left>
      <right/>
      <top style="medium">
        <color rgb="FFFFB628"/>
      </top>
      <bottom style="thin">
        <color rgb="FFFFB628"/>
      </bottom>
      <diagonal/>
    </border>
    <border>
      <left/>
      <right/>
      <top style="medium">
        <color rgb="FFFFB628"/>
      </top>
      <bottom style="thin">
        <color rgb="FFFFB628"/>
      </bottom>
      <diagonal/>
    </border>
    <border>
      <left/>
      <right style="medium">
        <color rgb="FFFFB628"/>
      </right>
      <top style="medium">
        <color rgb="FFFFB628"/>
      </top>
      <bottom style="thin">
        <color rgb="FFFFB628"/>
      </bottom>
      <diagonal/>
    </border>
    <border>
      <left style="medium">
        <color rgb="FFFF4A23"/>
      </left>
      <right/>
      <top style="medium">
        <color rgb="FFFF4A23"/>
      </top>
      <bottom style="thin">
        <color rgb="FFFF4A23"/>
      </bottom>
      <diagonal/>
    </border>
    <border>
      <left/>
      <right/>
      <top style="medium">
        <color rgb="FFFF4A23"/>
      </top>
      <bottom style="thin">
        <color rgb="FFFF4A23"/>
      </bottom>
      <diagonal/>
    </border>
    <border>
      <left/>
      <right style="medium">
        <color rgb="FFFF4A23"/>
      </right>
      <top style="medium">
        <color rgb="FFFF4A23"/>
      </top>
      <bottom style="thin">
        <color rgb="FFFF4A23"/>
      </bottom>
      <diagonal/>
    </border>
    <border>
      <left style="medium">
        <color rgb="FFFF0000"/>
      </left>
      <right/>
      <top style="medium">
        <color rgb="FFFF0000"/>
      </top>
      <bottom style="thin">
        <color rgb="FFFF0000"/>
      </bottom>
      <diagonal/>
    </border>
    <border>
      <left/>
      <right/>
      <top style="medium">
        <color rgb="FFFF0000"/>
      </top>
      <bottom style="thin">
        <color rgb="FFFF0000"/>
      </bottom>
      <diagonal/>
    </border>
    <border>
      <left/>
      <right style="medium">
        <color rgb="FFFF0000"/>
      </right>
      <top style="medium">
        <color rgb="FFFF0000"/>
      </top>
      <bottom style="thin">
        <color rgb="FFFF0000"/>
      </bottom>
      <diagonal/>
    </border>
    <border>
      <left style="medium">
        <color rgb="FF6028FF"/>
      </left>
      <right/>
      <top style="medium">
        <color rgb="FF6028FF"/>
      </top>
      <bottom style="thin">
        <color rgb="FF6028FF"/>
      </bottom>
      <diagonal/>
    </border>
    <border>
      <left/>
      <right/>
      <top style="medium">
        <color rgb="FF6028FF"/>
      </top>
      <bottom style="thin">
        <color rgb="FF6028FF"/>
      </bottom>
      <diagonal/>
    </border>
    <border>
      <left/>
      <right style="medium">
        <color rgb="FF6028FF"/>
      </right>
      <top style="medium">
        <color rgb="FF6028FF"/>
      </top>
      <bottom style="thin">
        <color rgb="FF6028FF"/>
      </bottom>
      <diagonal/>
    </border>
    <border>
      <left style="medium">
        <color rgb="FF4398FF"/>
      </left>
      <right/>
      <top style="medium">
        <color rgb="FF4398FF"/>
      </top>
      <bottom style="thin">
        <color rgb="FF6028FF"/>
      </bottom>
      <diagonal/>
    </border>
    <border>
      <left/>
      <right/>
      <top style="medium">
        <color rgb="FF4398FF"/>
      </top>
      <bottom style="thin">
        <color rgb="FF6028FF"/>
      </bottom>
      <diagonal/>
    </border>
    <border>
      <left/>
      <right style="medium">
        <color rgb="FF4398FF"/>
      </right>
      <top style="medium">
        <color rgb="FF4398FF"/>
      </top>
      <bottom style="thin">
        <color rgb="FF6028FF"/>
      </bottom>
      <diagonal/>
    </border>
    <border>
      <left style="medium">
        <color rgb="FF00CB20"/>
      </left>
      <right/>
      <top style="medium">
        <color rgb="FF00CB20"/>
      </top>
      <bottom style="thin">
        <color rgb="FF00CB20"/>
      </bottom>
      <diagonal/>
    </border>
    <border>
      <left/>
      <right/>
      <top style="medium">
        <color rgb="FF00CB20"/>
      </top>
      <bottom style="thin">
        <color rgb="FF00CB20"/>
      </bottom>
      <diagonal/>
    </border>
    <border>
      <left/>
      <right style="medium">
        <color rgb="FF00CB20"/>
      </right>
      <top style="medium">
        <color rgb="FF00CB20"/>
      </top>
      <bottom style="thin">
        <color rgb="FF00CB20"/>
      </bottom>
      <diagonal/>
    </border>
    <border>
      <left style="medium">
        <color rgb="FF00C874"/>
      </left>
      <right/>
      <top/>
      <bottom style="hair">
        <color rgb="FF00C874"/>
      </bottom>
      <diagonal/>
    </border>
    <border>
      <left/>
      <right/>
      <top/>
      <bottom style="hair">
        <color rgb="FF00C874"/>
      </bottom>
      <diagonal/>
    </border>
    <border>
      <left/>
      <right style="hair">
        <color rgb="FF00C874"/>
      </right>
      <top/>
      <bottom style="hair">
        <color rgb="FF00C874"/>
      </bottom>
      <diagonal/>
    </border>
    <border>
      <left style="hair">
        <color rgb="FF00C874"/>
      </left>
      <right style="hair">
        <color rgb="FF00C874"/>
      </right>
      <top/>
      <bottom style="hair">
        <color rgb="FF00C874"/>
      </bottom>
      <diagonal/>
    </border>
    <border>
      <left style="hair">
        <color rgb="FF00C874"/>
      </left>
      <right style="medium">
        <color rgb="FF00C874"/>
      </right>
      <top/>
      <bottom style="hair">
        <color rgb="FF00C874"/>
      </bottom>
      <diagonal/>
    </border>
    <border>
      <left style="medium">
        <color rgb="FFFFB628"/>
      </left>
      <right/>
      <top/>
      <bottom style="hair">
        <color rgb="FF00C874"/>
      </bottom>
      <diagonal/>
    </border>
    <border>
      <left/>
      <right/>
      <top/>
      <bottom style="hair">
        <color rgb="FFFFB628"/>
      </bottom>
      <diagonal/>
    </border>
    <border>
      <left/>
      <right style="hair">
        <color rgb="FFFFB628"/>
      </right>
      <top/>
      <bottom style="hair">
        <color rgb="FFFFB628"/>
      </bottom>
      <diagonal/>
    </border>
    <border>
      <left style="hair">
        <color rgb="FFFFB628"/>
      </left>
      <right style="hair">
        <color rgb="FFFFB628"/>
      </right>
      <top/>
      <bottom style="hair">
        <color rgb="FFFFB628"/>
      </bottom>
      <diagonal/>
    </border>
    <border>
      <left style="medium">
        <color rgb="FFFF4A23"/>
      </left>
      <right style="hair">
        <color rgb="FFFF4A23"/>
      </right>
      <top/>
      <bottom style="hair">
        <color rgb="FFFF4A23"/>
      </bottom>
      <diagonal/>
    </border>
    <border>
      <left style="hair">
        <color rgb="FFFF4A23"/>
      </left>
      <right/>
      <top/>
      <bottom style="hair">
        <color rgb="FFFF4A23"/>
      </bottom>
      <diagonal/>
    </border>
    <border>
      <left/>
      <right style="hair">
        <color rgb="FFFF4A23"/>
      </right>
      <top/>
      <bottom style="hair">
        <color rgb="FFFF4A23"/>
      </bottom>
      <diagonal/>
    </border>
    <border>
      <left style="hair">
        <color rgb="FFFF4A23"/>
      </left>
      <right style="hair">
        <color rgb="FFFF4A23"/>
      </right>
      <top/>
      <bottom style="hair">
        <color rgb="FFFF4A23"/>
      </bottom>
      <diagonal/>
    </border>
    <border>
      <left style="hair">
        <color rgb="FFFF4A23"/>
      </left>
      <right style="medium">
        <color rgb="FFFF4A23"/>
      </right>
      <top/>
      <bottom style="hair">
        <color rgb="FFFF4A23"/>
      </bottom>
      <diagonal/>
    </border>
    <border>
      <left style="medium">
        <color rgb="FFFF0000"/>
      </left>
      <right style="hair">
        <color rgb="FFFF0000"/>
      </right>
      <top style="hair">
        <color rgb="FFFF0000"/>
      </top>
      <bottom style="hair">
        <color rgb="FFFF0000"/>
      </bottom>
      <diagonal/>
    </border>
    <border>
      <left style="hair">
        <color rgb="FFFF0000"/>
      </left>
      <right/>
      <top style="hair">
        <color rgb="FFFF0000"/>
      </top>
      <bottom style="hair">
        <color rgb="FFFF0000"/>
      </bottom>
      <diagonal/>
    </border>
    <border>
      <left/>
      <right style="hair">
        <color rgb="FFFF0000"/>
      </right>
      <top style="hair">
        <color rgb="FFFF0000"/>
      </top>
      <bottom style="hair">
        <color rgb="FFFF0000"/>
      </bottom>
      <diagonal/>
    </border>
    <border>
      <left style="hair">
        <color rgb="FFFF0000"/>
      </left>
      <right style="hair">
        <color rgb="FFFF0000"/>
      </right>
      <top style="hair">
        <color rgb="FFFF0000"/>
      </top>
      <bottom style="hair">
        <color rgb="FFFF0000"/>
      </bottom>
      <diagonal/>
    </border>
    <border>
      <left style="hair">
        <color rgb="FFFF0000"/>
      </left>
      <right style="medium">
        <color rgb="FFFF0000"/>
      </right>
      <top style="hair">
        <color rgb="FFFF0000"/>
      </top>
      <bottom style="hair">
        <color rgb="FFFF0000"/>
      </bottom>
      <diagonal/>
    </border>
    <border>
      <left style="medium">
        <color rgb="FF6028FF"/>
      </left>
      <right style="hair">
        <color rgb="FF6028FF"/>
      </right>
      <top style="hair">
        <color rgb="FF6028FF"/>
      </top>
      <bottom style="hair">
        <color rgb="FF6028FF"/>
      </bottom>
      <diagonal/>
    </border>
    <border>
      <left style="hair">
        <color rgb="FF6028FF"/>
      </left>
      <right/>
      <top style="hair">
        <color rgb="FF6028FF"/>
      </top>
      <bottom style="hair">
        <color rgb="FF6028FF"/>
      </bottom>
      <diagonal/>
    </border>
    <border>
      <left/>
      <right style="hair">
        <color rgb="FF6028FF"/>
      </right>
      <top style="hair">
        <color rgb="FF6028FF"/>
      </top>
      <bottom style="hair">
        <color rgb="FF6028FF"/>
      </bottom>
      <diagonal/>
    </border>
    <border>
      <left style="hair">
        <color rgb="FF6028FF"/>
      </left>
      <right style="hair">
        <color rgb="FF6028FF"/>
      </right>
      <top style="hair">
        <color rgb="FF6028FF"/>
      </top>
      <bottom style="hair">
        <color rgb="FF6028FF"/>
      </bottom>
      <diagonal/>
    </border>
    <border>
      <left style="hair">
        <color rgb="FF6028FF"/>
      </left>
      <right style="medium">
        <color rgb="FF6028FF"/>
      </right>
      <top style="hair">
        <color rgb="FF6028FF"/>
      </top>
      <bottom style="hair">
        <color rgb="FF6028FF"/>
      </bottom>
      <diagonal/>
    </border>
    <border>
      <left style="medium">
        <color rgb="FF4398FF"/>
      </left>
      <right style="hair">
        <color rgb="FF6028FF"/>
      </right>
      <top style="hair">
        <color rgb="FF6028FF"/>
      </top>
      <bottom style="hair">
        <color rgb="FF6028FF"/>
      </bottom>
      <diagonal/>
    </border>
    <border>
      <left style="hair">
        <color rgb="FF6028FF"/>
      </left>
      <right style="medium">
        <color rgb="FF4398FF"/>
      </right>
      <top style="hair">
        <color rgb="FF6028FF"/>
      </top>
      <bottom style="hair">
        <color rgb="FF6028FF"/>
      </bottom>
      <diagonal/>
    </border>
    <border>
      <left style="medium">
        <color rgb="FF00CB20"/>
      </left>
      <right style="hair">
        <color rgb="FF00CB20"/>
      </right>
      <top style="hair">
        <color rgb="FF00CB20"/>
      </top>
      <bottom style="hair">
        <color rgb="FF00CB20"/>
      </bottom>
      <diagonal/>
    </border>
    <border>
      <left style="hair">
        <color rgb="FF00CB20"/>
      </left>
      <right/>
      <top style="hair">
        <color rgb="FF00CB20"/>
      </top>
      <bottom style="hair">
        <color rgb="FF00CB20"/>
      </bottom>
      <diagonal/>
    </border>
    <border>
      <left/>
      <right style="hair">
        <color rgb="FF00CB20"/>
      </right>
      <top style="hair">
        <color rgb="FF00CB20"/>
      </top>
      <bottom style="hair">
        <color rgb="FF00CB20"/>
      </bottom>
      <diagonal/>
    </border>
    <border>
      <left style="hair">
        <color rgb="FF00CB20"/>
      </left>
      <right style="hair">
        <color rgb="FF00CB20"/>
      </right>
      <top style="hair">
        <color rgb="FF00CB20"/>
      </top>
      <bottom style="hair">
        <color rgb="FF00CB20"/>
      </bottom>
      <diagonal/>
    </border>
    <border>
      <left style="hair">
        <color rgb="FF00CB20"/>
      </left>
      <right style="medium">
        <color rgb="FF00CB20"/>
      </right>
      <top style="hair">
        <color rgb="FF00CB20"/>
      </top>
      <bottom style="hair">
        <color rgb="FF00CB20"/>
      </bottom>
      <diagonal/>
    </border>
    <border>
      <left style="medium">
        <color rgb="FF00C874"/>
      </left>
      <right/>
      <top style="hair">
        <color rgb="FF00C874"/>
      </top>
      <bottom style="hair">
        <color rgb="FF00C874"/>
      </bottom>
      <diagonal/>
    </border>
    <border>
      <left/>
      <right/>
      <top style="hair">
        <color rgb="FF00C874"/>
      </top>
      <bottom style="hair">
        <color rgb="FF00C874"/>
      </bottom>
      <diagonal/>
    </border>
    <border>
      <left/>
      <right style="hair">
        <color rgb="FF00C874"/>
      </right>
      <top style="hair">
        <color rgb="FF00C874"/>
      </top>
      <bottom style="hair">
        <color rgb="FF00C874"/>
      </bottom>
      <diagonal/>
    </border>
    <border>
      <left style="hair">
        <color rgb="FF00C874"/>
      </left>
      <right style="hair">
        <color rgb="FF00C874"/>
      </right>
      <top style="hair">
        <color rgb="FF00C874"/>
      </top>
      <bottom style="hair">
        <color rgb="FF00C874"/>
      </bottom>
      <diagonal/>
    </border>
    <border>
      <left style="hair">
        <color rgb="FF00C874"/>
      </left>
      <right style="medium">
        <color rgb="FF00C874"/>
      </right>
      <top style="hair">
        <color rgb="FF00C874"/>
      </top>
      <bottom style="hair">
        <color rgb="FF00C874"/>
      </bottom>
      <diagonal/>
    </border>
    <border>
      <left style="medium">
        <color rgb="FFFFB628"/>
      </left>
      <right/>
      <top style="hair">
        <color rgb="FF00C874"/>
      </top>
      <bottom style="hair">
        <color rgb="FF00C874"/>
      </bottom>
      <diagonal/>
    </border>
    <border>
      <left/>
      <right/>
      <top style="hair">
        <color rgb="FFFFB628"/>
      </top>
      <bottom style="hair">
        <color rgb="FFFFB628"/>
      </bottom>
      <diagonal/>
    </border>
    <border>
      <left/>
      <right style="hair">
        <color rgb="FFFFB628"/>
      </right>
      <top style="hair">
        <color rgb="FFFFB628"/>
      </top>
      <bottom style="hair">
        <color rgb="FFFFB628"/>
      </bottom>
      <diagonal/>
    </border>
    <border>
      <left style="hair">
        <color rgb="FFFFB628"/>
      </left>
      <right style="hair">
        <color rgb="FFFFB628"/>
      </right>
      <top style="hair">
        <color rgb="FFFFB628"/>
      </top>
      <bottom style="hair">
        <color rgb="FFFFB628"/>
      </bottom>
      <diagonal/>
    </border>
    <border>
      <left style="hair">
        <color rgb="FFFFB628"/>
      </left>
      <right style="medium">
        <color rgb="FFFFB628"/>
      </right>
      <top style="hair">
        <color rgb="FFFFB628"/>
      </top>
      <bottom style="hair">
        <color rgb="FFFFB628"/>
      </bottom>
      <diagonal/>
    </border>
    <border>
      <left style="medium">
        <color rgb="FFFF4A23"/>
      </left>
      <right style="hair">
        <color rgb="FFFF4A23"/>
      </right>
      <top style="hair">
        <color rgb="FFFF4A23"/>
      </top>
      <bottom style="hair">
        <color rgb="FFFF4A23"/>
      </bottom>
      <diagonal/>
    </border>
    <border>
      <left style="hair">
        <color rgb="FFFF4A23"/>
      </left>
      <right/>
      <top style="hair">
        <color rgb="FFFF4A23"/>
      </top>
      <bottom style="hair">
        <color rgb="FFFF4A23"/>
      </bottom>
      <diagonal/>
    </border>
    <border>
      <left/>
      <right style="hair">
        <color rgb="FFFF4A23"/>
      </right>
      <top style="hair">
        <color rgb="FFFF4A23"/>
      </top>
      <bottom style="hair">
        <color rgb="FFFF4A23"/>
      </bottom>
      <diagonal/>
    </border>
    <border>
      <left style="hair">
        <color rgb="FFFF4A23"/>
      </left>
      <right style="hair">
        <color rgb="FFFF4A23"/>
      </right>
      <top style="hair">
        <color rgb="FFFF4A23"/>
      </top>
      <bottom style="hair">
        <color rgb="FFFF4A23"/>
      </bottom>
      <diagonal/>
    </border>
    <border>
      <left style="hair">
        <color rgb="FFFF4A23"/>
      </left>
      <right style="medium">
        <color rgb="FFFF4A23"/>
      </right>
      <top style="hair">
        <color rgb="FFFF4A23"/>
      </top>
      <bottom style="hair">
        <color rgb="FFFF4A23"/>
      </bottom>
      <diagonal/>
    </border>
    <border>
      <left style="medium">
        <color rgb="FF00C874"/>
      </left>
      <right/>
      <top style="hair">
        <color rgb="FF00C874"/>
      </top>
      <bottom style="medium">
        <color rgb="FF00C874"/>
      </bottom>
      <diagonal/>
    </border>
    <border>
      <left/>
      <right/>
      <top style="hair">
        <color rgb="FF00C874"/>
      </top>
      <bottom style="medium">
        <color rgb="FF00C874"/>
      </bottom>
      <diagonal/>
    </border>
    <border>
      <left/>
      <right style="hair">
        <color rgb="FF00C874"/>
      </right>
      <top style="hair">
        <color rgb="FF00C874"/>
      </top>
      <bottom style="medium">
        <color rgb="FF00C874"/>
      </bottom>
      <diagonal/>
    </border>
    <border>
      <left style="hair">
        <color rgb="FF00C874"/>
      </left>
      <right style="hair">
        <color rgb="FF00C874"/>
      </right>
      <top style="hair">
        <color rgb="FF00C874"/>
      </top>
      <bottom style="medium">
        <color rgb="FF00C874"/>
      </bottom>
      <diagonal/>
    </border>
    <border>
      <left style="hair">
        <color rgb="FF00C874"/>
      </left>
      <right style="medium">
        <color rgb="FF00C874"/>
      </right>
      <top style="hair">
        <color rgb="FF00C874"/>
      </top>
      <bottom style="medium">
        <color rgb="FF00C874"/>
      </bottom>
      <diagonal/>
    </border>
    <border>
      <left style="medium">
        <color rgb="FFFFB628"/>
      </left>
      <right/>
      <top style="hair">
        <color rgb="FF00C874"/>
      </top>
      <bottom style="medium">
        <color rgb="FFFFB628"/>
      </bottom>
      <diagonal/>
    </border>
    <border>
      <left/>
      <right/>
      <top style="hair">
        <color rgb="FFFFB628"/>
      </top>
      <bottom style="medium">
        <color rgb="FFFFB628"/>
      </bottom>
      <diagonal/>
    </border>
    <border>
      <left/>
      <right style="hair">
        <color rgb="FFFFB628"/>
      </right>
      <top style="hair">
        <color rgb="FFFFB628"/>
      </top>
      <bottom style="medium">
        <color rgb="FFFFB628"/>
      </bottom>
      <diagonal/>
    </border>
    <border>
      <left style="hair">
        <color rgb="FFFFB628"/>
      </left>
      <right style="hair">
        <color rgb="FFFFB628"/>
      </right>
      <top style="hair">
        <color rgb="FFFFB628"/>
      </top>
      <bottom style="medium">
        <color rgb="FFFFB628"/>
      </bottom>
      <diagonal/>
    </border>
    <border>
      <left style="hair">
        <color rgb="FFFFB628"/>
      </left>
      <right style="medium">
        <color rgb="FFFFB628"/>
      </right>
      <top style="hair">
        <color rgb="FFFFB628"/>
      </top>
      <bottom style="medium">
        <color rgb="FFFFB628"/>
      </bottom>
      <diagonal/>
    </border>
    <border>
      <left style="medium">
        <color rgb="FFFF4A23"/>
      </left>
      <right style="hair">
        <color rgb="FFFF4A23"/>
      </right>
      <top style="hair">
        <color rgb="FFFF4A23"/>
      </top>
      <bottom style="medium">
        <color rgb="FFFF4A23"/>
      </bottom>
      <diagonal/>
    </border>
    <border>
      <left style="hair">
        <color rgb="FFFF4A23"/>
      </left>
      <right/>
      <top style="hair">
        <color rgb="FFFF4A23"/>
      </top>
      <bottom style="medium">
        <color rgb="FFFF4A23"/>
      </bottom>
      <diagonal/>
    </border>
    <border>
      <left/>
      <right style="hair">
        <color rgb="FFFF4A23"/>
      </right>
      <top style="hair">
        <color rgb="FFFF4A23"/>
      </top>
      <bottom style="medium">
        <color rgb="FFFF4A23"/>
      </bottom>
      <diagonal/>
    </border>
    <border>
      <left style="hair">
        <color rgb="FFFF4A23"/>
      </left>
      <right style="hair">
        <color rgb="FFFF4A23"/>
      </right>
      <top style="hair">
        <color rgb="FFFF4A23"/>
      </top>
      <bottom style="medium">
        <color rgb="FFFF4A23"/>
      </bottom>
      <diagonal/>
    </border>
    <border>
      <left style="hair">
        <color rgb="FFFF4A23"/>
      </left>
      <right style="medium">
        <color rgb="FFFF4A23"/>
      </right>
      <top style="hair">
        <color rgb="FFFF4A23"/>
      </top>
      <bottom style="medium">
        <color rgb="FFFF4A23"/>
      </bottom>
      <diagonal/>
    </border>
    <border>
      <left style="medium">
        <color rgb="FF6028FF"/>
      </left>
      <right style="hair">
        <color rgb="FF6028FF"/>
      </right>
      <top style="hair">
        <color rgb="FF6028FF"/>
      </top>
      <bottom style="medium">
        <color rgb="FF6028FF"/>
      </bottom>
      <diagonal/>
    </border>
    <border>
      <left style="hair">
        <color rgb="FF6028FF"/>
      </left>
      <right/>
      <top style="hair">
        <color rgb="FF6028FF"/>
      </top>
      <bottom style="medium">
        <color rgb="FF6028FF"/>
      </bottom>
      <diagonal/>
    </border>
    <border>
      <left/>
      <right style="hair">
        <color rgb="FF6028FF"/>
      </right>
      <top style="hair">
        <color rgb="FF6028FF"/>
      </top>
      <bottom style="medium">
        <color rgb="FF6028FF"/>
      </bottom>
      <diagonal/>
    </border>
    <border>
      <left style="hair">
        <color rgb="FF6028FF"/>
      </left>
      <right style="hair">
        <color rgb="FF6028FF"/>
      </right>
      <top style="hair">
        <color rgb="FF6028FF"/>
      </top>
      <bottom style="medium">
        <color rgb="FF6028FF"/>
      </bottom>
      <diagonal/>
    </border>
    <border>
      <left style="hair">
        <color rgb="FF6028FF"/>
      </left>
      <right style="medium">
        <color rgb="FF6028FF"/>
      </right>
      <top style="hair">
        <color rgb="FF6028FF"/>
      </top>
      <bottom style="medium">
        <color rgb="FF6028FF"/>
      </bottom>
      <diagonal/>
    </border>
    <border>
      <left style="medium">
        <color rgb="FF4398FF"/>
      </left>
      <right style="hair">
        <color rgb="FF6028FF"/>
      </right>
      <top style="hair">
        <color rgb="FF6028FF"/>
      </top>
      <bottom style="medium">
        <color rgb="FF4398FF"/>
      </bottom>
      <diagonal/>
    </border>
    <border>
      <left style="hair">
        <color rgb="FF6028FF"/>
      </left>
      <right/>
      <top style="hair">
        <color rgb="FF6028FF"/>
      </top>
      <bottom style="medium">
        <color rgb="FF4398FF"/>
      </bottom>
      <diagonal/>
    </border>
    <border>
      <left/>
      <right style="hair">
        <color rgb="FF6028FF"/>
      </right>
      <top style="hair">
        <color rgb="FF6028FF"/>
      </top>
      <bottom style="medium">
        <color rgb="FF4398FF"/>
      </bottom>
      <diagonal/>
    </border>
    <border>
      <left style="hair">
        <color rgb="FF6028FF"/>
      </left>
      <right style="hair">
        <color rgb="FF6028FF"/>
      </right>
      <top style="hair">
        <color rgb="FF6028FF"/>
      </top>
      <bottom style="medium">
        <color rgb="FF4398FF"/>
      </bottom>
      <diagonal/>
    </border>
    <border>
      <left style="hair">
        <color rgb="FF6028FF"/>
      </left>
      <right style="medium">
        <color rgb="FF4398FF"/>
      </right>
      <top style="hair">
        <color rgb="FF6028FF"/>
      </top>
      <bottom style="medium">
        <color rgb="FF4398FF"/>
      </bottom>
      <diagonal/>
    </border>
    <border>
      <left style="medium">
        <color rgb="FF00CB20"/>
      </left>
      <right style="hair">
        <color rgb="FF00CB20"/>
      </right>
      <top style="hair">
        <color rgb="FF00CB20"/>
      </top>
      <bottom style="medium">
        <color rgb="FF00CB20"/>
      </bottom>
      <diagonal/>
    </border>
    <border>
      <left style="hair">
        <color rgb="FF00CB20"/>
      </left>
      <right/>
      <top style="hair">
        <color rgb="FF00CB20"/>
      </top>
      <bottom style="medium">
        <color rgb="FF00CB20"/>
      </bottom>
      <diagonal/>
    </border>
    <border>
      <left/>
      <right style="hair">
        <color rgb="FF00CB20"/>
      </right>
      <top style="hair">
        <color rgb="FF00CB20"/>
      </top>
      <bottom style="medium">
        <color rgb="FF00CB20"/>
      </bottom>
      <diagonal/>
    </border>
    <border>
      <left style="hair">
        <color rgb="FF00CB20"/>
      </left>
      <right style="hair">
        <color rgb="FF00CB20"/>
      </right>
      <top style="hair">
        <color rgb="FF00CB20"/>
      </top>
      <bottom style="medium">
        <color rgb="FF00CB20"/>
      </bottom>
      <diagonal/>
    </border>
    <border>
      <left style="hair">
        <color rgb="FF00CB20"/>
      </left>
      <right style="medium">
        <color rgb="FF00CB20"/>
      </right>
      <top style="hair">
        <color rgb="FF00CB20"/>
      </top>
      <bottom style="medium">
        <color rgb="FF00CB20"/>
      </bottom>
      <diagonal/>
    </border>
    <border>
      <left style="medium">
        <color rgb="FFFF0000"/>
      </left>
      <right style="hair">
        <color rgb="FFFF0000"/>
      </right>
      <top style="hair">
        <color rgb="FFFF0000"/>
      </top>
      <bottom style="medium">
        <color rgb="FFFF0000"/>
      </bottom>
      <diagonal/>
    </border>
    <border>
      <left style="hair">
        <color rgb="FFFF0000"/>
      </left>
      <right/>
      <top style="hair">
        <color rgb="FFFF0000"/>
      </top>
      <bottom style="medium">
        <color rgb="FFFF0000"/>
      </bottom>
      <diagonal/>
    </border>
    <border>
      <left/>
      <right style="hair">
        <color rgb="FFFF0000"/>
      </right>
      <top style="hair">
        <color rgb="FFFF0000"/>
      </top>
      <bottom style="medium">
        <color rgb="FFFF0000"/>
      </bottom>
      <diagonal/>
    </border>
    <border>
      <left style="hair">
        <color rgb="FFFF0000"/>
      </left>
      <right style="hair">
        <color rgb="FFFF0000"/>
      </right>
      <top style="hair">
        <color rgb="FFFF0000"/>
      </top>
      <bottom style="medium">
        <color rgb="FFFF0000"/>
      </bottom>
      <diagonal/>
    </border>
    <border>
      <left style="hair">
        <color rgb="FFFF0000"/>
      </left>
      <right style="medium">
        <color rgb="FFFF0000"/>
      </right>
      <top style="hair">
        <color rgb="FFFF0000"/>
      </top>
      <bottom style="medium">
        <color rgb="FFFF0000"/>
      </bottom>
      <diagonal/>
    </border>
    <border>
      <left style="medium">
        <color rgb="FF4398FF"/>
      </left>
      <right/>
      <top style="medium">
        <color rgb="FF4398FF"/>
      </top>
      <bottom style="thin">
        <color rgb="FF4398FF"/>
      </bottom>
      <diagonal/>
    </border>
    <border>
      <left/>
      <right/>
      <top style="medium">
        <color rgb="FF4398FF"/>
      </top>
      <bottom style="thin">
        <color rgb="FF4398FF"/>
      </bottom>
      <diagonal/>
    </border>
    <border>
      <left/>
      <right style="medium">
        <color rgb="FF4398FF"/>
      </right>
      <top style="medium">
        <color rgb="FF4398FF"/>
      </top>
      <bottom style="thin">
        <color rgb="FF4398FF"/>
      </bottom>
      <diagonal/>
    </border>
    <border>
      <left style="medium">
        <color rgb="FF00C874"/>
      </left>
      <right/>
      <top/>
      <bottom/>
      <diagonal/>
    </border>
    <border>
      <left style="medium">
        <color rgb="FFFFB628"/>
      </left>
      <right/>
      <top/>
      <bottom/>
      <diagonal/>
    </border>
    <border>
      <left style="medium">
        <color rgb="FFFF0000"/>
      </left>
      <right style="hair">
        <color rgb="FFFF0000"/>
      </right>
      <top/>
      <bottom style="hair">
        <color rgb="FFFF0000"/>
      </bottom>
      <diagonal/>
    </border>
    <border>
      <left style="hair">
        <color rgb="FFFF0000"/>
      </left>
      <right/>
      <top/>
      <bottom style="hair">
        <color rgb="FFFF0000"/>
      </bottom>
      <diagonal/>
    </border>
    <border>
      <left/>
      <right style="hair">
        <color rgb="FFFF0000"/>
      </right>
      <top/>
      <bottom style="hair">
        <color rgb="FFFF0000"/>
      </bottom>
      <diagonal/>
    </border>
    <border>
      <left style="hair">
        <color rgb="FFFF0000"/>
      </left>
      <right style="hair">
        <color rgb="FFFF0000"/>
      </right>
      <top/>
      <bottom style="hair">
        <color rgb="FFFF0000"/>
      </bottom>
      <diagonal/>
    </border>
    <border>
      <left style="hair">
        <color rgb="FFFF0000"/>
      </left>
      <right style="medium">
        <color rgb="FFFF0000"/>
      </right>
      <top/>
      <bottom style="hair">
        <color rgb="FFFF0000"/>
      </bottom>
      <diagonal/>
    </border>
    <border>
      <left style="medium">
        <color rgb="FF6028FF"/>
      </left>
      <right style="hair">
        <color rgb="FF6028FF"/>
      </right>
      <top/>
      <bottom style="medium">
        <color rgb="FF6028FF"/>
      </bottom>
      <diagonal/>
    </border>
    <border>
      <left style="hair">
        <color rgb="FF6028FF"/>
      </left>
      <right/>
      <top/>
      <bottom style="medium">
        <color rgb="FF6028FF"/>
      </bottom>
      <diagonal/>
    </border>
    <border>
      <left/>
      <right style="hair">
        <color rgb="FF6028FF"/>
      </right>
      <top/>
      <bottom style="medium">
        <color rgb="FF6028FF"/>
      </bottom>
      <diagonal/>
    </border>
    <border>
      <left style="hair">
        <color rgb="FF6028FF"/>
      </left>
      <right style="hair">
        <color rgb="FF6028FF"/>
      </right>
      <top/>
      <bottom style="medium">
        <color rgb="FF6028FF"/>
      </bottom>
      <diagonal/>
    </border>
    <border>
      <left style="hair">
        <color rgb="FF6028FF"/>
      </left>
      <right style="medium">
        <color rgb="FF6028FF"/>
      </right>
      <top/>
      <bottom style="medium">
        <color rgb="FF6028FF"/>
      </bottom>
      <diagonal/>
    </border>
    <border>
      <left style="medium">
        <color rgb="FF4398FF"/>
      </left>
      <right style="hair">
        <color rgb="FF4398FF"/>
      </right>
      <top/>
      <bottom style="hair">
        <color rgb="FF4398FF"/>
      </bottom>
      <diagonal/>
    </border>
    <border>
      <left style="hair">
        <color rgb="FF4398FF"/>
      </left>
      <right/>
      <top/>
      <bottom style="hair">
        <color rgb="FF4398FF"/>
      </bottom>
      <diagonal/>
    </border>
    <border>
      <left/>
      <right style="hair">
        <color rgb="FF4398FF"/>
      </right>
      <top/>
      <bottom style="hair">
        <color rgb="FF4398FF"/>
      </bottom>
      <diagonal/>
    </border>
    <border>
      <left style="hair">
        <color rgb="FF4398FF"/>
      </left>
      <right style="hair">
        <color rgb="FF4398FF"/>
      </right>
      <top/>
      <bottom style="hair">
        <color rgb="FF4398FF"/>
      </bottom>
      <diagonal/>
    </border>
    <border>
      <left style="hair">
        <color rgb="FF4398FF"/>
      </left>
      <right style="medium">
        <color rgb="FF4398FF"/>
      </right>
      <top/>
      <bottom style="hair">
        <color rgb="FF4398FF"/>
      </bottom>
      <diagonal/>
    </border>
    <border>
      <left style="medium">
        <color rgb="FF00CB20"/>
      </left>
      <right style="hair">
        <color rgb="FF4398FF"/>
      </right>
      <top/>
      <bottom style="hair">
        <color rgb="FF4398FF"/>
      </bottom>
      <diagonal/>
    </border>
    <border>
      <left style="hair">
        <color rgb="FF4398FF"/>
      </left>
      <right style="medium">
        <color rgb="FF00CB20"/>
      </right>
      <top/>
      <bottom style="hair">
        <color rgb="FF4398FF"/>
      </bottom>
      <diagonal/>
    </border>
    <border>
      <left style="medium">
        <color rgb="FF4398FF"/>
      </left>
      <right style="hair">
        <color rgb="FF4398FF"/>
      </right>
      <top style="hair">
        <color rgb="FF4398FF"/>
      </top>
      <bottom style="hair">
        <color rgb="FF4398FF"/>
      </bottom>
      <diagonal/>
    </border>
    <border>
      <left style="hair">
        <color rgb="FF4398FF"/>
      </left>
      <right/>
      <top style="hair">
        <color rgb="FF4398FF"/>
      </top>
      <bottom style="hair">
        <color rgb="FF4398FF"/>
      </bottom>
      <diagonal/>
    </border>
    <border>
      <left/>
      <right style="hair">
        <color rgb="FF4398FF"/>
      </right>
      <top style="hair">
        <color rgb="FF4398FF"/>
      </top>
      <bottom style="hair">
        <color rgb="FF4398FF"/>
      </bottom>
      <diagonal/>
    </border>
    <border>
      <left style="hair">
        <color rgb="FF4398FF"/>
      </left>
      <right style="hair">
        <color rgb="FF4398FF"/>
      </right>
      <top style="hair">
        <color rgb="FF4398FF"/>
      </top>
      <bottom style="hair">
        <color rgb="FF4398FF"/>
      </bottom>
      <diagonal/>
    </border>
    <border>
      <left style="hair">
        <color rgb="FF4398FF"/>
      </left>
      <right style="medium">
        <color rgb="FF4398FF"/>
      </right>
      <top style="hair">
        <color rgb="FF4398FF"/>
      </top>
      <bottom style="hair">
        <color rgb="FF4398FF"/>
      </bottom>
      <diagonal/>
    </border>
    <border>
      <left style="medium">
        <color rgb="FF00CB20"/>
      </left>
      <right style="hair">
        <color rgb="FF4398FF"/>
      </right>
      <top style="hair">
        <color rgb="FF4398FF"/>
      </top>
      <bottom style="hair">
        <color rgb="FF4398FF"/>
      </bottom>
      <diagonal/>
    </border>
    <border>
      <left style="hair">
        <color rgb="FF4398FF"/>
      </left>
      <right style="medium">
        <color rgb="FF00CB20"/>
      </right>
      <top style="hair">
        <color rgb="FF4398FF"/>
      </top>
      <bottom style="hair">
        <color rgb="FF4398FF"/>
      </bottom>
      <diagonal/>
    </border>
    <border>
      <left style="medium">
        <color rgb="FF4398FF"/>
      </left>
      <right style="hair">
        <color rgb="FF4398FF"/>
      </right>
      <top style="hair">
        <color rgb="FF4398FF"/>
      </top>
      <bottom style="medium">
        <color rgb="FF4398FF"/>
      </bottom>
      <diagonal/>
    </border>
    <border>
      <left style="hair">
        <color rgb="FF4398FF"/>
      </left>
      <right/>
      <top style="hair">
        <color rgb="FF4398FF"/>
      </top>
      <bottom style="medium">
        <color rgb="FF4398FF"/>
      </bottom>
      <diagonal/>
    </border>
    <border>
      <left/>
      <right style="hair">
        <color rgb="FF4398FF"/>
      </right>
      <top style="hair">
        <color rgb="FF4398FF"/>
      </top>
      <bottom style="medium">
        <color rgb="FF4398FF"/>
      </bottom>
      <diagonal/>
    </border>
    <border>
      <left style="hair">
        <color rgb="FF4398FF"/>
      </left>
      <right style="hair">
        <color rgb="FF4398FF"/>
      </right>
      <top style="hair">
        <color rgb="FF4398FF"/>
      </top>
      <bottom style="medium">
        <color rgb="FF4398FF"/>
      </bottom>
      <diagonal/>
    </border>
    <border>
      <left style="hair">
        <color rgb="FF4398FF"/>
      </left>
      <right style="medium">
        <color rgb="FF4398FF"/>
      </right>
      <top style="hair">
        <color rgb="FF4398FF"/>
      </top>
      <bottom style="medium">
        <color rgb="FF4398FF"/>
      </bottom>
      <diagonal/>
    </border>
    <border>
      <left style="medium">
        <color rgb="FF6028FF"/>
      </left>
      <right style="hair">
        <color rgb="FF6028FF"/>
      </right>
      <top/>
      <bottom style="hair">
        <color rgb="FF6028FF"/>
      </bottom>
      <diagonal/>
    </border>
    <border>
      <left style="hair">
        <color rgb="FF6028FF"/>
      </left>
      <right/>
      <top/>
      <bottom style="hair">
        <color rgb="FF6028FF"/>
      </bottom>
      <diagonal/>
    </border>
    <border>
      <left/>
      <right style="hair">
        <color rgb="FF6028FF"/>
      </right>
      <top/>
      <bottom style="hair">
        <color rgb="FF6028FF"/>
      </bottom>
      <diagonal/>
    </border>
    <border>
      <left style="hair">
        <color rgb="FF6028FF"/>
      </left>
      <right style="hair">
        <color rgb="FF6028FF"/>
      </right>
      <top/>
      <bottom style="hair">
        <color rgb="FF6028FF"/>
      </bottom>
      <diagonal/>
    </border>
    <border>
      <left style="hair">
        <color rgb="FF6028FF"/>
      </left>
      <right style="medium">
        <color rgb="FF6028FF"/>
      </right>
      <top/>
      <bottom style="hair">
        <color rgb="FF6028FF"/>
      </bottom>
      <diagonal/>
    </border>
    <border>
      <left style="medium">
        <color rgb="FFFFB628"/>
      </left>
      <right/>
      <top/>
      <bottom style="medium">
        <color rgb="FFFFB628"/>
      </bottom>
      <diagonal/>
    </border>
    <border>
      <left style="medium">
        <color rgb="FF00CB20"/>
      </left>
      <right style="hair">
        <color rgb="FF4398FF"/>
      </right>
      <top style="hair">
        <color rgb="FF4398FF"/>
      </top>
      <bottom style="medium">
        <color rgb="FF00CB20"/>
      </bottom>
      <diagonal/>
    </border>
    <border>
      <left style="hair">
        <color rgb="FF4398FF"/>
      </left>
      <right/>
      <top style="hair">
        <color rgb="FF4398FF"/>
      </top>
      <bottom style="medium">
        <color rgb="FF00CB20"/>
      </bottom>
      <diagonal/>
    </border>
    <border>
      <left/>
      <right style="hair">
        <color rgb="FF4398FF"/>
      </right>
      <top style="hair">
        <color rgb="FF4398FF"/>
      </top>
      <bottom style="medium">
        <color rgb="FF00CB20"/>
      </bottom>
      <diagonal/>
    </border>
    <border>
      <left style="hair">
        <color rgb="FF4398FF"/>
      </left>
      <right style="hair">
        <color rgb="FF4398FF"/>
      </right>
      <top style="hair">
        <color rgb="FF4398FF"/>
      </top>
      <bottom style="medium">
        <color rgb="FF00CB20"/>
      </bottom>
      <diagonal/>
    </border>
    <border>
      <left style="hair">
        <color rgb="FF4398FF"/>
      </left>
      <right style="medium">
        <color rgb="FF00CB20"/>
      </right>
      <top style="hair">
        <color rgb="FF4398FF"/>
      </top>
      <bottom style="medium">
        <color rgb="FF00CB20"/>
      </bottom>
      <diagonal/>
    </border>
    <border>
      <left style="medium">
        <color rgb="FF00CB20"/>
      </left>
      <right style="hair">
        <color rgb="FF00CB20"/>
      </right>
      <top/>
      <bottom style="hair">
        <color rgb="FF00CB20"/>
      </bottom>
      <diagonal/>
    </border>
    <border>
      <left style="hair">
        <color rgb="FF00CB20"/>
      </left>
      <right/>
      <top/>
      <bottom style="hair">
        <color rgb="FF00CB20"/>
      </bottom>
      <diagonal/>
    </border>
    <border>
      <left/>
      <right style="hair">
        <color rgb="FF00CB20"/>
      </right>
      <top/>
      <bottom style="hair">
        <color rgb="FF00CB20"/>
      </bottom>
      <diagonal/>
    </border>
    <border>
      <left style="hair">
        <color rgb="FF00CB20"/>
      </left>
      <right style="hair">
        <color rgb="FF00CB20"/>
      </right>
      <top/>
      <bottom style="hair">
        <color rgb="FF00CB20"/>
      </bottom>
      <diagonal/>
    </border>
    <border>
      <left style="hair">
        <color rgb="FF00CB20"/>
      </left>
      <right style="medium">
        <color rgb="FF00CB20"/>
      </right>
      <top/>
      <bottom style="hair">
        <color rgb="FF00CB20"/>
      </bottom>
      <diagonal/>
    </border>
    <border>
      <left style="medium">
        <color rgb="FF00C874"/>
      </left>
      <right/>
      <top/>
      <bottom style="medium">
        <color rgb="FF00C874"/>
      </bottom>
      <diagonal/>
    </border>
    <border>
      <left/>
      <right style="hair">
        <color rgb="FFFFB628"/>
      </right>
      <top style="hair">
        <color rgb="FFFFB628"/>
      </top>
      <bottom style="hair">
        <color rgb="FFFF0000"/>
      </bottom>
      <diagonal/>
    </border>
    <border>
      <left style="medium">
        <color rgb="FF00C874"/>
      </left>
      <right/>
      <top style="medium">
        <color rgb="FF00C874"/>
      </top>
      <bottom/>
      <diagonal/>
    </border>
    <border>
      <left/>
      <right/>
      <top style="medium">
        <color rgb="FF00C874"/>
      </top>
      <bottom/>
      <diagonal/>
    </border>
    <border>
      <left/>
      <right style="medium">
        <color rgb="FF00C874"/>
      </right>
      <top style="medium">
        <color rgb="FF00C874"/>
      </top>
      <bottom/>
      <diagonal/>
    </border>
    <border>
      <left style="medium">
        <color rgb="FF00C874"/>
      </left>
      <right style="hair">
        <color rgb="FF00C874"/>
      </right>
      <top style="thin">
        <color rgb="FF00C874"/>
      </top>
      <bottom style="hair">
        <color rgb="FF00C874"/>
      </bottom>
      <diagonal/>
    </border>
    <border>
      <left style="hair">
        <color rgb="FF00C874"/>
      </left>
      <right/>
      <top style="thin">
        <color rgb="FF00C874"/>
      </top>
      <bottom style="hair">
        <color rgb="FF00C874"/>
      </bottom>
      <diagonal/>
    </border>
    <border>
      <left/>
      <right style="hair">
        <color rgb="FF00C874"/>
      </right>
      <top style="thin">
        <color rgb="FF00C874"/>
      </top>
      <bottom style="hair">
        <color rgb="FF00C874"/>
      </bottom>
      <diagonal/>
    </border>
    <border>
      <left style="hair">
        <color rgb="FF00C874"/>
      </left>
      <right style="hair">
        <color rgb="FF00C874"/>
      </right>
      <top style="thin">
        <color rgb="FF00C874"/>
      </top>
      <bottom style="hair">
        <color rgb="FF00C874"/>
      </bottom>
      <diagonal/>
    </border>
    <border>
      <left style="hair">
        <color rgb="FF00C874"/>
      </left>
      <right style="medium">
        <color rgb="FF00C874"/>
      </right>
      <top style="thin">
        <color rgb="FF00C874"/>
      </top>
      <bottom style="hair">
        <color rgb="FF00C874"/>
      </bottom>
      <diagonal/>
    </border>
    <border>
      <left style="medium">
        <color rgb="FF00C874"/>
      </left>
      <right style="hair">
        <color rgb="FF00C874"/>
      </right>
      <top style="hair">
        <color rgb="FF00C874"/>
      </top>
      <bottom style="hair">
        <color rgb="FF00C874"/>
      </bottom>
      <diagonal/>
    </border>
    <border>
      <left style="hair">
        <color rgb="FF00C874"/>
      </left>
      <right/>
      <top style="hair">
        <color rgb="FF00C874"/>
      </top>
      <bottom style="hair">
        <color rgb="FF00C874"/>
      </bottom>
      <diagonal/>
    </border>
    <border>
      <left style="hair">
        <color rgb="FFFFB628"/>
      </left>
      <right style="hair">
        <color rgb="FFFFB628"/>
      </right>
      <top style="hair">
        <color rgb="FFFFB628"/>
      </top>
      <bottom style="hair">
        <color rgb="FFFF0000"/>
      </bottom>
      <diagonal/>
    </border>
    <border>
      <left style="medium">
        <color rgb="FF00C874"/>
      </left>
      <right style="hair">
        <color rgb="FF00C874"/>
      </right>
      <top style="hair">
        <color rgb="FF00C874"/>
      </top>
      <bottom style="medium">
        <color rgb="FF00C874"/>
      </bottom>
      <diagonal/>
    </border>
    <border>
      <left style="hair">
        <color rgb="FF00C874"/>
      </left>
      <right/>
      <top style="hair">
        <color rgb="FF00C874"/>
      </top>
      <bottom style="medium">
        <color rgb="FF00C874"/>
      </bottom>
      <diagonal/>
    </border>
    <border>
      <left style="medium">
        <color rgb="FFFFB628"/>
      </left>
      <right style="hair">
        <color rgb="FFFFB628"/>
      </right>
      <top/>
      <bottom style="hair">
        <color rgb="FFFFB628"/>
      </bottom>
      <diagonal/>
    </border>
    <border>
      <left style="hair">
        <color rgb="FFFFB628"/>
      </left>
      <right/>
      <top/>
      <bottom style="hair">
        <color rgb="FFFFB628"/>
      </bottom>
      <diagonal/>
    </border>
    <border>
      <left style="medium">
        <color rgb="FFFFB628"/>
      </left>
      <right style="hair">
        <color rgb="FFFFB628"/>
      </right>
      <top style="hair">
        <color rgb="FFFFB628"/>
      </top>
      <bottom style="medium">
        <color rgb="FFFFB628"/>
      </bottom>
      <diagonal/>
    </border>
    <border>
      <left style="hair">
        <color rgb="FFFFB628"/>
      </left>
      <right/>
      <top style="hair">
        <color rgb="FFFFB628"/>
      </top>
      <bottom style="medium">
        <color rgb="FFFFB628"/>
      </bottom>
      <diagonal/>
    </border>
    <border>
      <left/>
      <right/>
      <top style="hair">
        <color rgb="FF4398FF"/>
      </top>
      <bottom style="medium">
        <color rgb="FF4398FF"/>
      </bottom>
      <diagonal/>
    </border>
    <border>
      <left/>
      <right style="medium">
        <color rgb="FF4398FF"/>
      </right>
      <top style="hair">
        <color rgb="FF4398FF"/>
      </top>
      <bottom style="medium">
        <color rgb="FF4398FF"/>
      </bottom>
      <diagonal/>
    </border>
    <border>
      <left/>
      <right style="medium">
        <color rgb="FF00C874"/>
      </right>
      <top style="hair">
        <color rgb="FF00C874"/>
      </top>
      <bottom style="medium">
        <color rgb="FF00C874"/>
      </bottom>
      <diagonal/>
    </border>
    <border>
      <left style="medium">
        <color rgb="FFFFB628"/>
      </left>
      <right style="hair">
        <color rgb="FFFFB628"/>
      </right>
      <top style="hair">
        <color rgb="FFFFB628"/>
      </top>
      <bottom style="hair">
        <color rgb="FFFFB628"/>
      </bottom>
      <diagonal/>
    </border>
    <border>
      <left style="hair">
        <color rgb="FFFFB628"/>
      </left>
      <right/>
      <top style="hair">
        <color rgb="FFFFB628"/>
      </top>
      <bottom style="hair">
        <color rgb="FFFFB628"/>
      </bottom>
      <diagonal/>
    </border>
    <border>
      <left/>
      <right/>
      <top/>
      <bottom style="medium">
        <color rgb="FF00C874"/>
      </bottom>
      <diagonal/>
    </border>
    <border>
      <left/>
      <right style="hair">
        <color rgb="FF00C874"/>
      </right>
      <top/>
      <bottom style="medium">
        <color rgb="FF00C874"/>
      </bottom>
      <diagonal/>
    </border>
    <border>
      <left/>
      <right/>
      <top style="hair">
        <color rgb="FFFF4A23"/>
      </top>
      <bottom style="medium">
        <color rgb="FFFF4A23"/>
      </bottom>
      <diagonal/>
    </border>
    <border>
      <left/>
      <right style="medium">
        <color rgb="FFFF4A23"/>
      </right>
      <top style="hair">
        <color rgb="FFFF4A23"/>
      </top>
      <bottom style="medium">
        <color rgb="FFFF4A23"/>
      </bottom>
      <diagonal/>
    </border>
    <border>
      <left/>
      <right style="medium">
        <color rgb="FFFFB628"/>
      </right>
      <top style="hair">
        <color rgb="FFFFB628"/>
      </top>
      <bottom style="medium">
        <color rgb="FFFFB628"/>
      </bottom>
      <diagonal/>
    </border>
    <border>
      <left/>
      <right/>
      <top style="hair">
        <color rgb="FF6028FF"/>
      </top>
      <bottom style="medium">
        <color rgb="FF6028FF"/>
      </bottom>
      <diagonal/>
    </border>
    <border>
      <left/>
      <right style="medium">
        <color rgb="FF6028FF"/>
      </right>
      <top style="hair">
        <color rgb="FF6028FF"/>
      </top>
      <bottom style="medium">
        <color rgb="FF6028FF"/>
      </bottom>
      <diagonal/>
    </border>
    <border>
      <left style="hair">
        <color rgb="FF00C874"/>
      </left>
      <right/>
      <top/>
      <bottom/>
      <diagonal/>
    </border>
    <border>
      <left/>
      <right style="medium">
        <color rgb="FF00C874"/>
      </right>
      <top/>
      <bottom/>
      <diagonal/>
    </border>
    <border>
      <left style="hair">
        <color rgb="FF00C874"/>
      </left>
      <right/>
      <top/>
      <bottom style="medium">
        <color rgb="FF00C874"/>
      </bottom>
      <diagonal/>
    </border>
    <border>
      <left/>
      <right style="medium">
        <color rgb="FF00C874"/>
      </right>
      <top/>
      <bottom style="medium">
        <color rgb="FF00C874"/>
      </bottom>
      <diagonal/>
    </border>
    <border>
      <left/>
      <right/>
      <top style="medium">
        <color rgb="FF00C874"/>
      </top>
      <bottom style="hair">
        <color rgb="FF00C874"/>
      </bottom>
      <diagonal/>
    </border>
    <border>
      <left/>
      <right style="hair">
        <color rgb="FF00C874"/>
      </right>
      <top style="medium">
        <color rgb="FF00C874"/>
      </top>
      <bottom style="hair">
        <color rgb="FF00C874"/>
      </bottom>
      <diagonal/>
    </border>
    <border>
      <left style="hair">
        <color rgb="FF00C874"/>
      </left>
      <right/>
      <top style="medium">
        <color rgb="FF00C874"/>
      </top>
      <bottom style="hair">
        <color rgb="FF00C874"/>
      </bottom>
      <diagonal/>
    </border>
    <border>
      <left/>
      <right style="medium">
        <color rgb="FF00C874"/>
      </right>
      <top style="medium">
        <color rgb="FF00C874"/>
      </top>
      <bottom style="hair">
        <color rgb="FF00C874"/>
      </bottom>
      <diagonal/>
    </border>
    <border>
      <left style="hair">
        <color rgb="FF00C874"/>
      </left>
      <right/>
      <top/>
      <bottom style="hair">
        <color rgb="FF00C874"/>
      </bottom>
      <diagonal/>
    </border>
    <border>
      <left/>
      <right style="medium">
        <color rgb="FF00C874"/>
      </right>
      <top/>
      <bottom style="hair">
        <color rgb="FF00C874"/>
      </bottom>
      <diagonal/>
    </border>
    <border>
      <left style="medium">
        <color rgb="FFFFB628"/>
      </left>
      <right style="hair">
        <color rgb="FFFFB628"/>
      </right>
      <top style="medium">
        <color rgb="FFFFB628"/>
      </top>
      <bottom style="hair">
        <color rgb="FFFFB628"/>
      </bottom>
      <diagonal/>
    </border>
    <border>
      <left style="hair">
        <color rgb="FFFFB628"/>
      </left>
      <right/>
      <top style="medium">
        <color rgb="FFFFB628"/>
      </top>
      <bottom style="hair">
        <color rgb="FFFFB628"/>
      </bottom>
      <diagonal/>
    </border>
    <border>
      <left/>
      <right style="hair">
        <color rgb="FFFFB628"/>
      </right>
      <top style="medium">
        <color rgb="FFFFB628"/>
      </top>
      <bottom style="hair">
        <color rgb="FFFFB628"/>
      </bottom>
      <diagonal/>
    </border>
    <border>
      <left/>
      <right/>
      <top style="medium">
        <color rgb="FFFFB628"/>
      </top>
      <bottom style="hair">
        <color rgb="FFFFB628"/>
      </bottom>
      <diagonal/>
    </border>
    <border>
      <left/>
      <right style="medium">
        <color rgb="FFFFB628"/>
      </right>
      <top style="medium">
        <color rgb="FFFFB628"/>
      </top>
      <bottom style="hair">
        <color rgb="FFFFB628"/>
      </bottom>
      <diagonal/>
    </border>
    <border>
      <left/>
      <right style="medium">
        <color rgb="FFFFB628"/>
      </right>
      <top style="hair">
        <color rgb="FFFFB628"/>
      </top>
      <bottom style="hair">
        <color rgb="FFFFB628"/>
      </bottom>
      <diagonal/>
    </border>
    <border>
      <left style="medium">
        <color rgb="FFFF4A23"/>
      </left>
      <right style="hair">
        <color rgb="FFFF4A23"/>
      </right>
      <top style="medium">
        <color rgb="FFFF4A23"/>
      </top>
      <bottom style="hair">
        <color rgb="FFFF4A23"/>
      </bottom>
      <diagonal/>
    </border>
    <border>
      <left style="hair">
        <color rgb="FFFF4A23"/>
      </left>
      <right/>
      <top style="medium">
        <color rgb="FFFF4A23"/>
      </top>
      <bottom style="hair">
        <color rgb="FFFF4A23"/>
      </bottom>
      <diagonal/>
    </border>
    <border>
      <left/>
      <right style="hair">
        <color rgb="FFFF4A23"/>
      </right>
      <top style="medium">
        <color rgb="FFFF4A23"/>
      </top>
      <bottom style="hair">
        <color rgb="FFFF4A23"/>
      </bottom>
      <diagonal/>
    </border>
    <border>
      <left/>
      <right/>
      <top style="medium">
        <color rgb="FFFF4A23"/>
      </top>
      <bottom style="hair">
        <color rgb="FFFF4A23"/>
      </bottom>
      <diagonal/>
    </border>
    <border>
      <left/>
      <right style="medium">
        <color rgb="FFFF4A23"/>
      </right>
      <top style="medium">
        <color rgb="FFFF4A23"/>
      </top>
      <bottom style="hair">
        <color rgb="FFFF4A23"/>
      </bottom>
      <diagonal/>
    </border>
    <border>
      <left/>
      <right/>
      <top style="hair">
        <color rgb="FFFF4A23"/>
      </top>
      <bottom style="hair">
        <color rgb="FFFF4A23"/>
      </bottom>
      <diagonal/>
    </border>
    <border>
      <left/>
      <right style="medium">
        <color rgb="FFFF4A23"/>
      </right>
      <top style="hair">
        <color rgb="FFFF4A23"/>
      </top>
      <bottom style="hair">
        <color rgb="FFFF4A23"/>
      </bottom>
      <diagonal/>
    </border>
    <border>
      <left style="medium">
        <color rgb="FF6028FF"/>
      </left>
      <right style="hair">
        <color rgb="FF6028FF"/>
      </right>
      <top style="medium">
        <color rgb="FF6028FF"/>
      </top>
      <bottom style="hair">
        <color rgb="FF6028FF"/>
      </bottom>
      <diagonal/>
    </border>
    <border>
      <left style="hair">
        <color rgb="FF6028FF"/>
      </left>
      <right/>
      <top style="medium">
        <color rgb="FF6028FF"/>
      </top>
      <bottom style="hair">
        <color rgb="FF6028FF"/>
      </bottom>
      <diagonal/>
    </border>
    <border>
      <left/>
      <right style="hair">
        <color rgb="FF6028FF"/>
      </right>
      <top style="medium">
        <color rgb="FF6028FF"/>
      </top>
      <bottom style="hair">
        <color rgb="FF6028FF"/>
      </bottom>
      <diagonal/>
    </border>
    <border>
      <left/>
      <right/>
      <top style="medium">
        <color rgb="FF6028FF"/>
      </top>
      <bottom style="hair">
        <color rgb="FF6028FF"/>
      </bottom>
      <diagonal/>
    </border>
    <border>
      <left/>
      <right style="medium">
        <color rgb="FF6028FF"/>
      </right>
      <top style="medium">
        <color rgb="FF6028FF"/>
      </top>
      <bottom style="hair">
        <color rgb="FF6028FF"/>
      </bottom>
      <diagonal/>
    </border>
    <border>
      <left/>
      <right/>
      <top style="hair">
        <color rgb="FF6028FF"/>
      </top>
      <bottom style="hair">
        <color rgb="FF6028FF"/>
      </bottom>
      <diagonal/>
    </border>
    <border>
      <left/>
      <right style="medium">
        <color rgb="FF6028FF"/>
      </right>
      <top style="hair">
        <color rgb="FF6028FF"/>
      </top>
      <bottom style="hair">
        <color rgb="FF6028FF"/>
      </bottom>
      <diagonal/>
    </border>
    <border>
      <left style="medium">
        <color rgb="FF4398FF"/>
      </left>
      <right style="hair">
        <color rgb="FF4398FF"/>
      </right>
      <top style="medium">
        <color rgb="FF4398FF"/>
      </top>
      <bottom style="hair">
        <color rgb="FF4398FF"/>
      </bottom>
      <diagonal/>
    </border>
    <border>
      <left style="hair">
        <color rgb="FF4398FF"/>
      </left>
      <right/>
      <top style="medium">
        <color rgb="FF4398FF"/>
      </top>
      <bottom style="hair">
        <color rgb="FF4398FF"/>
      </bottom>
      <diagonal/>
    </border>
    <border>
      <left/>
      <right style="hair">
        <color rgb="FF4398FF"/>
      </right>
      <top style="medium">
        <color rgb="FF4398FF"/>
      </top>
      <bottom style="hair">
        <color rgb="FF4398FF"/>
      </bottom>
      <diagonal/>
    </border>
    <border>
      <left/>
      <right/>
      <top style="medium">
        <color rgb="FF4398FF"/>
      </top>
      <bottom style="hair">
        <color rgb="FF4398FF"/>
      </bottom>
      <diagonal/>
    </border>
    <border>
      <left/>
      <right style="medium">
        <color rgb="FF4398FF"/>
      </right>
      <top style="medium">
        <color rgb="FF4398FF"/>
      </top>
      <bottom style="hair">
        <color rgb="FF4398FF"/>
      </bottom>
      <diagonal/>
    </border>
    <border>
      <left/>
      <right/>
      <top style="hair">
        <color rgb="FF4398FF"/>
      </top>
      <bottom style="hair">
        <color rgb="FF4398FF"/>
      </bottom>
      <diagonal/>
    </border>
    <border>
      <left/>
      <right style="medium">
        <color rgb="FF4398FF"/>
      </right>
      <top style="hair">
        <color rgb="FF4398FF"/>
      </top>
      <bottom style="hair">
        <color rgb="FF4398FF"/>
      </bottom>
      <diagonal/>
    </border>
    <border>
      <left style="medium">
        <color rgb="FF00CB20"/>
      </left>
      <right style="dotted">
        <color rgb="FF00CB20"/>
      </right>
      <top/>
      <bottom style="dotted">
        <color rgb="FF00CB20"/>
      </bottom>
      <diagonal/>
    </border>
    <border>
      <left style="dotted">
        <color rgb="FF00CB20"/>
      </left>
      <right/>
      <top/>
      <bottom style="dotted">
        <color rgb="FF00CB20"/>
      </bottom>
      <diagonal/>
    </border>
    <border>
      <left/>
      <right style="dotted">
        <color rgb="FF00CB20"/>
      </right>
      <top/>
      <bottom style="dotted">
        <color rgb="FF00CB20"/>
      </bottom>
      <diagonal/>
    </border>
    <border>
      <left style="dotted">
        <color rgb="FF00CB20"/>
      </left>
      <right style="dotted">
        <color rgb="FF00CB20"/>
      </right>
      <top/>
      <bottom style="dotted">
        <color rgb="FF00CB20"/>
      </bottom>
      <diagonal/>
    </border>
    <border>
      <left style="dotted">
        <color rgb="FF00CB20"/>
      </left>
      <right style="medium">
        <color rgb="FF00CB20"/>
      </right>
      <top/>
      <bottom style="dotted">
        <color rgb="FF00CB20"/>
      </bottom>
      <diagonal/>
    </border>
    <border>
      <left style="medium">
        <color rgb="FF00CB20"/>
      </left>
      <right style="dotted">
        <color rgb="FF00CB20"/>
      </right>
      <top style="dotted">
        <color rgb="FF00CB20"/>
      </top>
      <bottom style="dotted">
        <color rgb="FF00CB20"/>
      </bottom>
      <diagonal/>
    </border>
    <border>
      <left style="dotted">
        <color rgb="FF00CB20"/>
      </left>
      <right/>
      <top style="dotted">
        <color rgb="FF00CB20"/>
      </top>
      <bottom style="dotted">
        <color rgb="FF00CB20"/>
      </bottom>
      <diagonal/>
    </border>
    <border>
      <left/>
      <right style="dotted">
        <color rgb="FF00CB20"/>
      </right>
      <top style="dotted">
        <color rgb="FF00CB20"/>
      </top>
      <bottom style="dotted">
        <color rgb="FF00CB20"/>
      </bottom>
      <diagonal/>
    </border>
    <border>
      <left style="dotted">
        <color rgb="FF00CB20"/>
      </left>
      <right style="dotted">
        <color rgb="FF00CB20"/>
      </right>
      <top style="dotted">
        <color rgb="FF00CB20"/>
      </top>
      <bottom style="dotted">
        <color rgb="FF00CB20"/>
      </bottom>
      <diagonal/>
    </border>
    <border>
      <left style="dotted">
        <color rgb="FF00CB20"/>
      </left>
      <right style="medium">
        <color rgb="FF00CB20"/>
      </right>
      <top style="dotted">
        <color rgb="FF00CB20"/>
      </top>
      <bottom style="dotted">
        <color rgb="FF00CB20"/>
      </bottom>
      <diagonal/>
    </border>
    <border>
      <left style="medium">
        <color rgb="FF00CB20"/>
      </left>
      <right style="dotted">
        <color rgb="FF00CB20"/>
      </right>
      <top style="dotted">
        <color rgb="FF00CB20"/>
      </top>
      <bottom style="medium">
        <color rgb="FF00CB20"/>
      </bottom>
      <diagonal/>
    </border>
    <border>
      <left style="dotted">
        <color rgb="FF00CB20"/>
      </left>
      <right/>
      <top style="dotted">
        <color rgb="FF00CB20"/>
      </top>
      <bottom style="medium">
        <color rgb="FF00CB20"/>
      </bottom>
      <diagonal/>
    </border>
    <border>
      <left/>
      <right style="dotted">
        <color rgb="FF00CB20"/>
      </right>
      <top style="dotted">
        <color rgb="FF00CB20"/>
      </top>
      <bottom style="medium">
        <color rgb="FF00CB20"/>
      </bottom>
      <diagonal/>
    </border>
    <border>
      <left style="dotted">
        <color rgb="FF00CB20"/>
      </left>
      <right style="dotted">
        <color rgb="FF00CB20"/>
      </right>
      <top style="dotted">
        <color rgb="FF00CB20"/>
      </top>
      <bottom style="medium">
        <color rgb="FF00CB20"/>
      </bottom>
      <diagonal/>
    </border>
    <border>
      <left style="dotted">
        <color rgb="FF00CB20"/>
      </left>
      <right style="medium">
        <color rgb="FF00CB20"/>
      </right>
      <top style="dotted">
        <color rgb="FF00CB20"/>
      </top>
      <bottom style="medium">
        <color rgb="FF00CB20"/>
      </bottom>
      <diagonal/>
    </border>
    <border>
      <left style="medium">
        <color rgb="FF00C874"/>
      </left>
      <right style="hair">
        <color rgb="FF00C874"/>
      </right>
      <top style="medium">
        <color rgb="FF00C874"/>
      </top>
      <bottom style="hair">
        <color rgb="FF00C874"/>
      </bottom>
      <diagonal/>
    </border>
    <border>
      <left/>
      <right style="medium">
        <color rgb="FF00C874"/>
      </right>
      <top style="hair">
        <color rgb="FF00C874"/>
      </top>
      <bottom style="hair">
        <color rgb="FF00C87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91">
    <xf numFmtId="0" fontId="0" fillId="0" borderId="0" xfId="0"/>
    <xf numFmtId="0" fontId="1" fillId="2" borderId="1" xfId="0" applyFont="1" applyFill="1" applyBorder="1" applyAlignment="1">
      <alignment vertical="center"/>
    </xf>
    <xf numFmtId="0" fontId="2" fillId="2" borderId="1" xfId="0" applyFont="1" applyFill="1" applyBorder="1" applyAlignment="1">
      <alignment vertical="center"/>
    </xf>
    <xf numFmtId="0" fontId="3" fillId="0" borderId="0" xfId="0" applyFont="1" applyAlignment="1">
      <alignment vertical="center"/>
    </xf>
    <xf numFmtId="0" fontId="3" fillId="2" borderId="0" xfId="0" applyFont="1" applyFill="1" applyAlignment="1">
      <alignment vertical="center"/>
    </xf>
    <xf numFmtId="0" fontId="3" fillId="0" borderId="0" xfId="0" applyFont="1"/>
    <xf numFmtId="0" fontId="5" fillId="0" borderId="0" xfId="0" applyFont="1" applyAlignment="1">
      <alignment vertical="center"/>
    </xf>
    <xf numFmtId="0" fontId="5" fillId="2" borderId="0" xfId="0" applyFont="1" applyFill="1" applyAlignment="1">
      <alignment vertical="center"/>
    </xf>
    <xf numFmtId="0" fontId="3" fillId="0" borderId="52" xfId="0" applyFont="1" applyBorder="1" applyAlignment="1">
      <alignment vertical="center"/>
    </xf>
    <xf numFmtId="0" fontId="8" fillId="0" borderId="0" xfId="0" applyFont="1" applyAlignment="1">
      <alignment vertical="center"/>
    </xf>
    <xf numFmtId="0" fontId="9" fillId="0" borderId="51" xfId="0" quotePrefix="1" applyFont="1" applyBorder="1" applyAlignment="1">
      <alignment horizontal="right" vertical="center"/>
    </xf>
    <xf numFmtId="0" fontId="9" fillId="0" borderId="0" xfId="0" applyFont="1" applyAlignment="1">
      <alignment vertical="center"/>
    </xf>
    <xf numFmtId="0" fontId="3" fillId="0" borderId="53" xfId="0" applyFont="1" applyBorder="1" applyAlignment="1">
      <alignment vertical="center"/>
    </xf>
    <xf numFmtId="0" fontId="3" fillId="0" borderId="54" xfId="0" applyFont="1" applyBorder="1" applyAlignment="1">
      <alignment vertical="center"/>
    </xf>
    <xf numFmtId="0" fontId="10" fillId="0" borderId="55" xfId="0" applyFont="1" applyBorder="1" applyAlignment="1">
      <alignment horizontal="left" vertical="center"/>
    </xf>
    <xf numFmtId="0" fontId="5" fillId="0" borderId="55" xfId="0" applyFont="1" applyBorder="1" applyAlignment="1">
      <alignment horizontal="center" vertical="center"/>
    </xf>
    <xf numFmtId="0" fontId="3" fillId="0" borderId="56" xfId="0" applyFont="1" applyBorder="1" applyAlignment="1">
      <alignment vertical="center"/>
    </xf>
    <xf numFmtId="0" fontId="11" fillId="0" borderId="0" xfId="0" applyFont="1" applyAlignment="1">
      <alignment horizontal="right" vertical="center"/>
    </xf>
    <xf numFmtId="0" fontId="6" fillId="0" borderId="0" xfId="0" applyFont="1" applyAlignment="1">
      <alignment vertical="center"/>
    </xf>
    <xf numFmtId="0" fontId="10" fillId="0" borderId="57" xfId="0" applyFont="1" applyBorder="1" applyAlignment="1">
      <alignment horizontal="left" vertical="center"/>
    </xf>
    <xf numFmtId="0" fontId="12" fillId="7" borderId="0" xfId="0" applyFont="1" applyFill="1" applyAlignment="1">
      <alignment vertical="center"/>
    </xf>
    <xf numFmtId="0" fontId="13" fillId="6" borderId="58" xfId="0" applyFont="1" applyFill="1" applyBorder="1" applyAlignment="1">
      <alignment horizontal="center" vertical="center"/>
    </xf>
    <xf numFmtId="0" fontId="13" fillId="6" borderId="59" xfId="0" applyFont="1" applyFill="1" applyBorder="1" applyAlignment="1">
      <alignment horizontal="center" vertical="center"/>
    </xf>
    <xf numFmtId="0" fontId="13" fillId="6" borderId="60" xfId="0" applyFont="1" applyFill="1" applyBorder="1" applyAlignment="1">
      <alignment horizontal="center" vertical="center"/>
    </xf>
    <xf numFmtId="0" fontId="3" fillId="0" borderId="61" xfId="0" applyFont="1" applyBorder="1" applyAlignment="1">
      <alignment vertical="center"/>
    </xf>
    <xf numFmtId="0" fontId="14" fillId="0" borderId="62" xfId="0" applyFont="1" applyBorder="1" applyAlignment="1">
      <alignment vertical="center"/>
    </xf>
    <xf numFmtId="0" fontId="3" fillId="0" borderId="62" xfId="0" applyFont="1" applyBorder="1" applyAlignment="1">
      <alignment vertical="center"/>
    </xf>
    <xf numFmtId="164" fontId="14" fillId="0" borderId="63" xfId="0" applyNumberFormat="1" applyFont="1" applyBorder="1" applyAlignment="1">
      <alignment horizontal="center" vertical="center"/>
    </xf>
    <xf numFmtId="164" fontId="14" fillId="0" borderId="64" xfId="0" applyNumberFormat="1" applyFont="1" applyBorder="1" applyAlignment="1">
      <alignment horizontal="center" vertical="center"/>
    </xf>
    <xf numFmtId="0" fontId="14" fillId="0" borderId="65" xfId="0" applyFont="1" applyBorder="1" applyAlignment="1">
      <alignment vertical="center"/>
    </xf>
    <xf numFmtId="164" fontId="5" fillId="5" borderId="66" xfId="0" applyNumberFormat="1" applyFont="1" applyFill="1" applyBorder="1" applyAlignment="1">
      <alignment horizontal="center" vertical="center"/>
    </xf>
    <xf numFmtId="9" fontId="14" fillId="0" borderId="63" xfId="0" applyNumberFormat="1" applyFont="1" applyBorder="1" applyAlignment="1">
      <alignment horizontal="center" vertical="center"/>
    </xf>
    <xf numFmtId="9" fontId="14" fillId="0" borderId="64" xfId="0" applyNumberFormat="1" applyFont="1" applyBorder="1" applyAlignment="1">
      <alignment horizontal="center" vertical="center"/>
    </xf>
    <xf numFmtId="0" fontId="14" fillId="0" borderId="61" xfId="0" applyFont="1" applyBorder="1" applyAlignment="1">
      <alignment vertical="center"/>
    </xf>
    <xf numFmtId="164" fontId="14" fillId="0" borderId="67" xfId="0" applyNumberFormat="1" applyFont="1" applyBorder="1" applyAlignment="1">
      <alignment horizontal="center" vertical="center"/>
    </xf>
    <xf numFmtId="164" fontId="14" fillId="0" borderId="58" xfId="0" applyNumberFormat="1" applyFont="1" applyBorder="1" applyAlignment="1">
      <alignment horizontal="center" vertical="center"/>
    </xf>
    <xf numFmtId="0" fontId="14" fillId="0" borderId="68" xfId="0" applyFont="1" applyBorder="1" applyAlignment="1">
      <alignment vertical="center"/>
    </xf>
    <xf numFmtId="0" fontId="5" fillId="0" borderId="69" xfId="0" applyFont="1" applyBorder="1" applyAlignment="1">
      <alignment horizontal="right" vertical="center"/>
    </xf>
    <xf numFmtId="0" fontId="15" fillId="0" borderId="70" xfId="0" applyFont="1" applyBorder="1" applyAlignment="1">
      <alignment vertical="center"/>
    </xf>
    <xf numFmtId="0" fontId="5" fillId="0" borderId="71" xfId="0" applyFont="1" applyBorder="1" applyAlignment="1">
      <alignment horizontal="right" vertical="center"/>
    </xf>
    <xf numFmtId="0" fontId="5" fillId="0" borderId="72" xfId="0" applyFont="1" applyBorder="1" applyAlignment="1">
      <alignment horizontal="right" vertical="center"/>
    </xf>
    <xf numFmtId="0" fontId="15" fillId="0" borderId="73" xfId="0" applyFont="1" applyBorder="1" applyAlignment="1">
      <alignment vertical="center"/>
    </xf>
    <xf numFmtId="0" fontId="14" fillId="0" borderId="74" xfId="0" applyFont="1" applyBorder="1" applyAlignment="1">
      <alignment vertical="center"/>
    </xf>
    <xf numFmtId="0" fontId="3" fillId="0" borderId="75" xfId="0" applyFont="1" applyBorder="1" applyAlignment="1">
      <alignment vertical="center"/>
    </xf>
    <xf numFmtId="0" fontId="14" fillId="0" borderId="76" xfId="0" applyFont="1" applyBorder="1" applyAlignment="1">
      <alignment horizontal="center" vertical="center"/>
    </xf>
    <xf numFmtId="0" fontId="14" fillId="0" borderId="77" xfId="0" applyFont="1" applyBorder="1" applyAlignment="1">
      <alignment horizontal="center" vertical="center"/>
    </xf>
    <xf numFmtId="0" fontId="14" fillId="0" borderId="78" xfId="0" applyFont="1" applyBorder="1" applyAlignment="1">
      <alignment horizontal="center" vertical="center"/>
    </xf>
    <xf numFmtId="0" fontId="14" fillId="0" borderId="79" xfId="0" applyFont="1" applyBorder="1" applyAlignment="1">
      <alignment vertical="center"/>
    </xf>
    <xf numFmtId="0" fontId="3" fillId="0" borderId="80" xfId="0" applyFont="1" applyBorder="1" applyAlignment="1">
      <alignment vertical="center"/>
    </xf>
    <xf numFmtId="3" fontId="14" fillId="0" borderId="81" xfId="0" applyNumberFormat="1" applyFont="1" applyBorder="1" applyAlignment="1">
      <alignment horizontal="center" vertical="center"/>
    </xf>
    <xf numFmtId="3" fontId="14" fillId="0" borderId="82" xfId="0" applyNumberFormat="1" applyFont="1" applyBorder="1" applyAlignment="1">
      <alignment horizontal="center" vertical="center"/>
    </xf>
    <xf numFmtId="3" fontId="14" fillId="0" borderId="83" xfId="0" applyNumberFormat="1" applyFont="1" applyBorder="1" applyAlignment="1">
      <alignment horizontal="center" vertical="center"/>
    </xf>
    <xf numFmtId="0" fontId="14" fillId="0" borderId="84" xfId="0" applyFont="1" applyBorder="1" applyAlignment="1">
      <alignment vertical="center"/>
    </xf>
    <xf numFmtId="0" fontId="3" fillId="0" borderId="85" xfId="0" applyFont="1" applyBorder="1" applyAlignment="1">
      <alignment vertical="center"/>
    </xf>
    <xf numFmtId="3" fontId="14" fillId="0" borderId="86" xfId="0" applyNumberFormat="1" applyFont="1" applyBorder="1" applyAlignment="1">
      <alignment horizontal="center" vertical="center"/>
    </xf>
    <xf numFmtId="3" fontId="14" fillId="0" borderId="87" xfId="0" applyNumberFormat="1" applyFont="1" applyBorder="1" applyAlignment="1">
      <alignment horizontal="center" vertical="center"/>
    </xf>
    <xf numFmtId="3" fontId="14" fillId="0" borderId="88" xfId="0" applyNumberFormat="1" applyFont="1" applyBorder="1" applyAlignment="1">
      <alignment horizontal="center" vertical="center"/>
    </xf>
    <xf numFmtId="3" fontId="3" fillId="0" borderId="0" xfId="0" applyNumberFormat="1" applyFont="1" applyAlignment="1">
      <alignment vertical="center"/>
    </xf>
    <xf numFmtId="0" fontId="3" fillId="0" borderId="89" xfId="0" applyFont="1" applyBorder="1" applyAlignment="1">
      <alignment vertical="center"/>
    </xf>
    <xf numFmtId="0" fontId="16" fillId="0" borderId="63" xfId="0" applyFont="1" applyBorder="1" applyAlignment="1">
      <alignment horizontal="center" vertical="center"/>
    </xf>
    <xf numFmtId="0" fontId="16" fillId="0" borderId="64" xfId="0" applyFont="1" applyBorder="1" applyAlignment="1">
      <alignment horizontal="center" vertical="center"/>
    </xf>
    <xf numFmtId="3" fontId="16" fillId="0" borderId="63" xfId="0" applyNumberFormat="1" applyFont="1" applyBorder="1" applyAlignment="1">
      <alignment horizontal="center" vertical="center"/>
    </xf>
    <xf numFmtId="3" fontId="16" fillId="0" borderId="64" xfId="0" applyNumberFormat="1" applyFont="1" applyBorder="1" applyAlignment="1">
      <alignment horizontal="center" vertical="center"/>
    </xf>
    <xf numFmtId="3" fontId="16" fillId="0" borderId="67" xfId="0" applyNumberFormat="1" applyFont="1" applyBorder="1" applyAlignment="1">
      <alignment horizontal="center" vertical="center"/>
    </xf>
    <xf numFmtId="3" fontId="16" fillId="0" borderId="58" xfId="0" applyNumberFormat="1" applyFont="1" applyBorder="1" applyAlignment="1">
      <alignment horizontal="center" vertical="center"/>
    </xf>
    <xf numFmtId="0" fontId="14" fillId="0" borderId="64" xfId="0" applyFont="1" applyBorder="1" applyAlignment="1">
      <alignment horizontal="center" vertical="center"/>
    </xf>
    <xf numFmtId="3" fontId="14" fillId="0" borderId="63" xfId="0" applyNumberFormat="1" applyFont="1" applyBorder="1" applyAlignment="1">
      <alignment horizontal="center" vertical="center"/>
    </xf>
    <xf numFmtId="3" fontId="14" fillId="0" borderId="64" xfId="0" applyNumberFormat="1" applyFont="1" applyBorder="1" applyAlignment="1">
      <alignment horizontal="center" vertical="center"/>
    </xf>
    <xf numFmtId="3" fontId="14" fillId="0" borderId="67" xfId="0" applyNumberFormat="1" applyFont="1" applyBorder="1" applyAlignment="1">
      <alignment horizontal="center" vertical="center"/>
    </xf>
    <xf numFmtId="3" fontId="14" fillId="0" borderId="58" xfId="0" applyNumberFormat="1" applyFont="1" applyBorder="1" applyAlignment="1">
      <alignment horizontal="center" vertical="center"/>
    </xf>
    <xf numFmtId="0" fontId="14" fillId="0" borderId="0" xfId="0" applyFont="1" applyAlignment="1">
      <alignment vertical="center"/>
    </xf>
    <xf numFmtId="3" fontId="14" fillId="0" borderId="0" xfId="0" applyNumberFormat="1" applyFont="1" applyAlignment="1">
      <alignment horizontal="center" vertical="center"/>
    </xf>
    <xf numFmtId="0" fontId="17" fillId="2" borderId="1" xfId="0" applyFont="1" applyFill="1" applyBorder="1" applyAlignment="1">
      <alignment vertical="center"/>
    </xf>
    <xf numFmtId="0" fontId="18" fillId="2" borderId="2" xfId="0" applyFont="1" applyFill="1" applyBorder="1" applyAlignment="1">
      <alignment vertical="center" wrapText="1"/>
    </xf>
    <xf numFmtId="0" fontId="18" fillId="2" borderId="1" xfId="0" applyFont="1" applyFill="1" applyBorder="1" applyAlignment="1">
      <alignment vertical="center"/>
    </xf>
    <xf numFmtId="0" fontId="19" fillId="2" borderId="1" xfId="0" applyFont="1" applyFill="1" applyBorder="1" applyAlignment="1">
      <alignment vertical="center"/>
    </xf>
    <xf numFmtId="0" fontId="18" fillId="2" borderId="3" xfId="0" applyFont="1" applyFill="1" applyBorder="1" applyAlignment="1">
      <alignment vertical="center" wrapText="1"/>
    </xf>
    <xf numFmtId="0" fontId="18" fillId="2" borderId="4" xfId="0" applyFont="1" applyFill="1" applyBorder="1" applyAlignment="1">
      <alignment vertical="center" wrapText="1"/>
    </xf>
    <xf numFmtId="0" fontId="17" fillId="2" borderId="0" xfId="0" applyFont="1" applyFill="1" applyAlignment="1">
      <alignment vertical="center"/>
    </xf>
    <xf numFmtId="0" fontId="17" fillId="0" borderId="0" xfId="0" applyFont="1" applyAlignment="1">
      <alignment vertical="center"/>
    </xf>
    <xf numFmtId="0" fontId="17" fillId="0" borderId="5" xfId="0" applyFont="1" applyBorder="1" applyAlignment="1">
      <alignment vertical="center"/>
    </xf>
    <xf numFmtId="0" fontId="20" fillId="0" borderId="5" xfId="0" applyFont="1" applyBorder="1" applyAlignment="1">
      <alignment vertical="center"/>
    </xf>
    <xf numFmtId="0" fontId="21" fillId="0" borderId="0" xfId="0" applyFont="1" applyAlignment="1">
      <alignment vertical="center"/>
    </xf>
    <xf numFmtId="0" fontId="22" fillId="0" borderId="0" xfId="0" applyFont="1" applyAlignment="1">
      <alignment vertical="center"/>
    </xf>
    <xf numFmtId="0" fontId="17" fillId="0" borderId="6" xfId="0" applyFont="1" applyBorder="1" applyAlignment="1">
      <alignment vertical="center"/>
    </xf>
    <xf numFmtId="0" fontId="17" fillId="0" borderId="7" xfId="0" applyFont="1" applyBorder="1" applyAlignment="1">
      <alignment vertical="center"/>
    </xf>
    <xf numFmtId="0" fontId="21" fillId="0" borderId="6" xfId="0" applyFont="1" applyBorder="1" applyAlignment="1">
      <alignment vertical="center"/>
    </xf>
    <xf numFmtId="0" fontId="18" fillId="0" borderId="0" xfId="0" applyFont="1" applyAlignment="1">
      <alignment vertical="center"/>
    </xf>
    <xf numFmtId="0" fontId="24" fillId="0" borderId="5" xfId="0" applyFont="1" applyBorder="1" applyAlignment="1">
      <alignment vertical="center"/>
    </xf>
    <xf numFmtId="0" fontId="25" fillId="0" borderId="0" xfId="0" applyFont="1" applyAlignment="1">
      <alignment vertical="center"/>
    </xf>
    <xf numFmtId="0" fontId="24" fillId="0" borderId="0" xfId="0" applyFont="1" applyAlignment="1">
      <alignment vertical="center"/>
    </xf>
    <xf numFmtId="0" fontId="26" fillId="0" borderId="0" xfId="0" applyFont="1" applyAlignment="1">
      <alignment vertical="center"/>
    </xf>
    <xf numFmtId="0" fontId="27" fillId="3" borderId="11" xfId="0" applyFont="1" applyFill="1" applyBorder="1" applyAlignment="1">
      <alignment horizontal="left" vertical="center"/>
    </xf>
    <xf numFmtId="0" fontId="27" fillId="3" borderId="12" xfId="0" applyFont="1" applyFill="1" applyBorder="1" applyAlignment="1">
      <alignment horizontal="left" vertical="center"/>
    </xf>
    <xf numFmtId="0" fontId="24" fillId="0" borderId="22" xfId="0" applyFont="1" applyBorder="1" applyAlignment="1">
      <alignment horizontal="center" vertical="center"/>
    </xf>
    <xf numFmtId="0" fontId="24" fillId="0" borderId="20" xfId="0" applyFont="1" applyBorder="1" applyAlignment="1">
      <alignment horizontal="center" vertical="center"/>
    </xf>
    <xf numFmtId="0" fontId="29" fillId="0" borderId="5" xfId="0" applyFont="1" applyBorder="1" applyAlignment="1">
      <alignment horizontal="center" vertical="center"/>
    </xf>
    <xf numFmtId="0" fontId="30" fillId="0" borderId="20" xfId="0" applyFont="1" applyBorder="1" applyAlignment="1">
      <alignment horizontal="left" vertical="center" wrapText="1"/>
    </xf>
    <xf numFmtId="0" fontId="30" fillId="0" borderId="20" xfId="0" applyFont="1" applyBorder="1" applyAlignment="1">
      <alignment horizontal="center" vertical="center" wrapText="1"/>
    </xf>
    <xf numFmtId="0" fontId="28" fillId="0" borderId="23" xfId="0" applyFont="1" applyBorder="1" applyAlignment="1">
      <alignment horizontal="left" vertical="center" wrapText="1"/>
    </xf>
    <xf numFmtId="0" fontId="28" fillId="0" borderId="40" xfId="0" applyFont="1" applyBorder="1" applyAlignment="1">
      <alignment horizontal="center" vertical="center" wrapText="1"/>
    </xf>
    <xf numFmtId="0" fontId="28" fillId="0" borderId="40" xfId="0" applyFont="1" applyBorder="1" applyAlignment="1">
      <alignment horizontal="left" vertical="center" wrapText="1"/>
    </xf>
    <xf numFmtId="3" fontId="28" fillId="0" borderId="24" xfId="0" applyNumberFormat="1" applyFont="1" applyBorder="1" applyAlignment="1">
      <alignment horizontal="left" vertical="center" wrapText="1"/>
    </xf>
    <xf numFmtId="3" fontId="28" fillId="0" borderId="25" xfId="0" applyNumberFormat="1" applyFont="1" applyBorder="1" applyAlignment="1">
      <alignment horizontal="left" vertical="center" wrapText="1"/>
    </xf>
    <xf numFmtId="0" fontId="24" fillId="0" borderId="17" xfId="0" applyFont="1" applyBorder="1" applyAlignment="1">
      <alignment horizontal="center" vertical="center"/>
    </xf>
    <xf numFmtId="0" fontId="24" fillId="0" borderId="19" xfId="0" applyFont="1" applyBorder="1" applyAlignment="1">
      <alignment horizontal="center" vertical="center"/>
    </xf>
    <xf numFmtId="0" fontId="5" fillId="0" borderId="0" xfId="0" applyFont="1" applyAlignment="1">
      <alignment horizontal="right" vertical="center"/>
    </xf>
    <xf numFmtId="0" fontId="30" fillId="0" borderId="21" xfId="0" applyFont="1" applyBorder="1" applyAlignment="1">
      <alignment horizontal="left" vertical="center" wrapText="1"/>
    </xf>
    <xf numFmtId="0" fontId="30" fillId="0" borderId="18" xfId="0" applyFont="1" applyBorder="1" applyAlignment="1">
      <alignment horizontal="center" vertical="center" wrapText="1"/>
    </xf>
    <xf numFmtId="0" fontId="28" fillId="0" borderId="19" xfId="0" applyFont="1" applyBorder="1" applyAlignment="1">
      <alignment horizontal="left" vertical="center" wrapText="1"/>
    </xf>
    <xf numFmtId="3" fontId="28" fillId="0" borderId="21" xfId="0" applyNumberFormat="1" applyFont="1" applyBorder="1" applyAlignment="1">
      <alignment horizontal="left" vertical="center" wrapText="1"/>
    </xf>
    <xf numFmtId="0" fontId="31" fillId="5" borderId="93" xfId="0" applyFont="1" applyFill="1" applyBorder="1" applyAlignment="1">
      <alignment horizontal="left" vertical="center" wrapText="1"/>
    </xf>
    <xf numFmtId="0" fontId="32" fillId="5" borderId="97" xfId="0" applyFont="1" applyFill="1" applyBorder="1" applyAlignment="1">
      <alignment horizontal="center" vertical="center" wrapText="1"/>
    </xf>
    <xf numFmtId="0" fontId="32" fillId="5" borderId="97" xfId="0" applyFont="1" applyFill="1" applyBorder="1" applyAlignment="1">
      <alignment horizontal="left" vertical="center" wrapText="1"/>
    </xf>
    <xf numFmtId="3" fontId="32" fillId="5" borderId="97" xfId="0" applyNumberFormat="1" applyFont="1" applyFill="1" applyBorder="1" applyAlignment="1">
      <alignment horizontal="center" vertical="center" wrapText="1"/>
    </xf>
    <xf numFmtId="49" fontId="32" fillId="5" borderId="97" xfId="0" applyNumberFormat="1" applyFont="1" applyFill="1" applyBorder="1" applyAlignment="1">
      <alignment horizontal="center" vertical="center" wrapText="1"/>
    </xf>
    <xf numFmtId="3" fontId="32" fillId="5" borderId="97" xfId="0" applyNumberFormat="1" applyFont="1" applyFill="1" applyBorder="1" applyAlignment="1">
      <alignment horizontal="center" vertical="center"/>
    </xf>
    <xf numFmtId="3" fontId="31" fillId="5" borderId="98" xfId="0" applyNumberFormat="1" applyFont="1" applyFill="1" applyBorder="1" applyAlignment="1">
      <alignment horizontal="center" vertical="center"/>
    </xf>
    <xf numFmtId="0" fontId="27" fillId="3" borderId="100" xfId="0" applyFont="1" applyFill="1" applyBorder="1" applyAlignment="1">
      <alignment horizontal="left" vertical="center"/>
    </xf>
    <xf numFmtId="0" fontId="32" fillId="6" borderId="101" xfId="0" applyFont="1" applyFill="1" applyBorder="1" applyAlignment="1">
      <alignment horizontal="left" vertical="center" wrapText="1"/>
    </xf>
    <xf numFmtId="0" fontId="32" fillId="6" borderId="31" xfId="0" applyFont="1" applyFill="1" applyBorder="1" applyAlignment="1">
      <alignment horizontal="left" vertical="center" wrapText="1"/>
    </xf>
    <xf numFmtId="3" fontId="32" fillId="6" borderId="31" xfId="0" applyNumberFormat="1" applyFont="1" applyFill="1" applyBorder="1" applyAlignment="1">
      <alignment horizontal="left" vertical="center" wrapText="1"/>
    </xf>
    <xf numFmtId="0" fontId="34" fillId="6" borderId="31" xfId="0" applyFont="1" applyFill="1" applyBorder="1" applyAlignment="1">
      <alignment horizontal="center" vertical="center" wrapText="1"/>
    </xf>
    <xf numFmtId="9" fontId="32" fillId="6" borderId="31" xfId="0" applyNumberFormat="1" applyFont="1" applyFill="1" applyBorder="1" applyAlignment="1">
      <alignment horizontal="left" vertical="center" wrapText="1"/>
    </xf>
    <xf numFmtId="3" fontId="31" fillId="6" borderId="37" xfId="0" applyNumberFormat="1" applyFont="1" applyFill="1" applyBorder="1" applyAlignment="1">
      <alignment horizontal="center" vertical="center"/>
    </xf>
    <xf numFmtId="0" fontId="27" fillId="3" borderId="107" xfId="0" applyFont="1" applyFill="1" applyBorder="1" applyAlignment="1">
      <alignment horizontal="left" vertical="center"/>
    </xf>
    <xf numFmtId="0" fontId="27" fillId="3" borderId="108" xfId="0" applyFont="1" applyFill="1" applyBorder="1" applyAlignment="1">
      <alignment horizontal="left" vertical="center"/>
    </xf>
    <xf numFmtId="0" fontId="32" fillId="6" borderId="28" xfId="0" applyFont="1" applyFill="1" applyBorder="1" applyAlignment="1">
      <alignment horizontal="left" vertical="center" wrapText="1"/>
    </xf>
    <xf numFmtId="0" fontId="32" fillId="6" borderId="29" xfId="0" applyFont="1" applyFill="1" applyBorder="1" applyAlignment="1">
      <alignment horizontal="left" vertical="center" wrapText="1"/>
    </xf>
    <xf numFmtId="0" fontId="32" fillId="6" borderId="5" xfId="0" applyFont="1" applyFill="1" applyBorder="1" applyAlignment="1">
      <alignment horizontal="left" vertical="center" wrapText="1"/>
    </xf>
    <xf numFmtId="3" fontId="32" fillId="6" borderId="109" xfId="0" applyNumberFormat="1" applyFont="1" applyFill="1" applyBorder="1" applyAlignment="1">
      <alignment horizontal="left" vertical="center" wrapText="1"/>
    </xf>
    <xf numFmtId="3" fontId="31" fillId="6" borderId="30" xfId="0" applyNumberFormat="1" applyFont="1" applyFill="1" applyBorder="1" applyAlignment="1">
      <alignment horizontal="center" vertical="center"/>
    </xf>
    <xf numFmtId="0" fontId="32" fillId="6" borderId="32" xfId="0" applyFont="1" applyFill="1" applyBorder="1" applyAlignment="1">
      <alignment horizontal="left" vertical="center" wrapText="1"/>
    </xf>
    <xf numFmtId="0" fontId="32" fillId="6" borderId="33" xfId="0" applyFont="1" applyFill="1" applyBorder="1" applyAlignment="1">
      <alignment horizontal="left" vertical="center" wrapText="1"/>
    </xf>
    <xf numFmtId="0" fontId="28" fillId="6" borderId="33" xfId="0" applyFont="1" applyFill="1" applyBorder="1" applyAlignment="1">
      <alignment horizontal="left" vertical="center" wrapText="1"/>
    </xf>
    <xf numFmtId="0" fontId="32" fillId="6" borderId="17" xfId="0" applyFont="1" applyFill="1" applyBorder="1" applyAlignment="1">
      <alignment horizontal="left" vertical="center" wrapText="1"/>
    </xf>
    <xf numFmtId="0" fontId="32" fillId="6" borderId="18" xfId="0" applyFont="1" applyFill="1" applyBorder="1" applyAlignment="1">
      <alignment horizontal="left" vertical="center" wrapText="1"/>
    </xf>
    <xf numFmtId="0" fontId="28" fillId="6" borderId="18" xfId="0" applyFont="1" applyFill="1" applyBorder="1" applyAlignment="1">
      <alignment horizontal="left" vertical="center" wrapText="1"/>
    </xf>
    <xf numFmtId="0" fontId="32" fillId="6" borderId="41" xfId="0" applyFont="1" applyFill="1" applyBorder="1" applyAlignment="1">
      <alignment horizontal="left" vertical="center" wrapText="1"/>
    </xf>
    <xf numFmtId="0" fontId="32" fillId="6" borderId="42" xfId="0" applyFont="1" applyFill="1" applyBorder="1" applyAlignment="1">
      <alignment horizontal="left" vertical="center" wrapText="1"/>
    </xf>
    <xf numFmtId="0" fontId="28" fillId="6" borderId="42" xfId="0" applyFont="1" applyFill="1" applyBorder="1" applyAlignment="1">
      <alignment horizontal="left" vertical="center" wrapText="1"/>
    </xf>
    <xf numFmtId="3" fontId="36" fillId="4" borderId="50" xfId="0" applyNumberFormat="1" applyFont="1" applyFill="1" applyBorder="1" applyAlignment="1">
      <alignment horizontal="center" vertical="center"/>
    </xf>
    <xf numFmtId="0" fontId="37" fillId="0" borderId="0" xfId="0" applyFont="1" applyAlignment="1">
      <alignment horizontal="center" vertical="center" wrapText="1"/>
    </xf>
    <xf numFmtId="0" fontId="37" fillId="0" borderId="5" xfId="0" applyFont="1" applyBorder="1" applyAlignment="1">
      <alignment horizontal="center" vertical="center" wrapText="1"/>
    </xf>
    <xf numFmtId="3" fontId="37" fillId="0" borderId="0" xfId="0" applyNumberFormat="1" applyFont="1" applyAlignment="1">
      <alignment horizontal="center" vertical="center"/>
    </xf>
    <xf numFmtId="0" fontId="38" fillId="0" borderId="0" xfId="0" applyFont="1" applyAlignment="1">
      <alignment vertical="center"/>
    </xf>
    <xf numFmtId="0" fontId="17" fillId="0" borderId="0" xfId="0" applyFont="1" applyAlignment="1">
      <alignment vertical="center" wrapText="1"/>
    </xf>
    <xf numFmtId="0" fontId="17" fillId="0" borderId="5" xfId="0" applyFont="1" applyBorder="1" applyAlignment="1">
      <alignment vertical="center" wrapText="1"/>
    </xf>
    <xf numFmtId="0" fontId="5" fillId="8" borderId="0" xfId="0" applyFont="1" applyFill="1" applyAlignment="1">
      <alignment vertical="center"/>
    </xf>
    <xf numFmtId="0" fontId="40" fillId="0" borderId="0" xfId="0" applyFont="1" applyAlignment="1">
      <alignment horizontal="right" vertical="center"/>
    </xf>
    <xf numFmtId="0" fontId="55" fillId="0" borderId="117" xfId="0" applyFont="1" applyBorder="1" applyAlignment="1">
      <alignment horizontal="center" vertical="center"/>
    </xf>
    <xf numFmtId="0" fontId="56" fillId="0" borderId="118" xfId="0" applyFont="1" applyBorder="1" applyAlignment="1">
      <alignment horizontal="center" vertical="center"/>
    </xf>
    <xf numFmtId="0" fontId="57" fillId="0" borderId="119" xfId="0" applyFont="1" applyBorder="1" applyAlignment="1">
      <alignment horizontal="center" vertical="center"/>
    </xf>
    <xf numFmtId="0" fontId="58" fillId="0" borderId="120" xfId="0" applyFont="1" applyBorder="1" applyAlignment="1">
      <alignment horizontal="center" vertical="center"/>
    </xf>
    <xf numFmtId="0" fontId="59" fillId="0" borderId="121" xfId="0" applyFont="1" applyBorder="1" applyAlignment="1">
      <alignment horizontal="center" vertical="center"/>
    </xf>
    <xf numFmtId="0" fontId="60" fillId="0" borderId="122" xfId="0" applyFont="1" applyBorder="1" applyAlignment="1">
      <alignment horizontal="center" vertical="center"/>
    </xf>
    <xf numFmtId="0" fontId="61" fillId="0" borderId="123" xfId="0" applyFont="1" applyBorder="1" applyAlignment="1">
      <alignment horizontal="center" vertical="center"/>
    </xf>
    <xf numFmtId="0" fontId="5" fillId="0" borderId="125" xfId="0" applyFont="1" applyBorder="1" applyAlignment="1">
      <alignment vertical="center"/>
    </xf>
    <xf numFmtId="0" fontId="5" fillId="0" borderId="126" xfId="0" applyFont="1" applyBorder="1" applyAlignment="1">
      <alignment vertical="center"/>
    </xf>
    <xf numFmtId="0" fontId="5" fillId="0" borderId="128" xfId="0" applyFont="1" applyBorder="1" applyAlignment="1">
      <alignment vertical="center"/>
    </xf>
    <xf numFmtId="0" fontId="5" fillId="0" borderId="129" xfId="0" applyFont="1" applyBorder="1" applyAlignment="1">
      <alignment vertical="center"/>
    </xf>
    <xf numFmtId="0" fontId="5" fillId="0" borderId="131" xfId="0" applyFont="1" applyBorder="1" applyAlignment="1">
      <alignment vertical="center"/>
    </xf>
    <xf numFmtId="0" fontId="5" fillId="0" borderId="132" xfId="0" applyFont="1" applyBorder="1" applyAlignment="1">
      <alignment vertical="center"/>
    </xf>
    <xf numFmtId="0" fontId="5" fillId="0" borderId="134" xfId="0" applyFont="1" applyBorder="1" applyAlignment="1">
      <alignment vertical="center"/>
    </xf>
    <xf numFmtId="0" fontId="5" fillId="0" borderId="135" xfId="0" applyFont="1" applyBorder="1" applyAlignment="1">
      <alignment vertical="center"/>
    </xf>
    <xf numFmtId="0" fontId="5" fillId="0" borderId="137" xfId="0" applyFont="1" applyBorder="1" applyAlignment="1">
      <alignment vertical="center"/>
    </xf>
    <xf numFmtId="0" fontId="5" fillId="0" borderId="138" xfId="0" applyFont="1" applyBorder="1" applyAlignment="1">
      <alignment vertical="center"/>
    </xf>
    <xf numFmtId="0" fontId="5" fillId="0" borderId="140" xfId="0" applyFont="1" applyBorder="1" applyAlignment="1">
      <alignment vertical="center"/>
    </xf>
    <xf numFmtId="0" fontId="5" fillId="0" borderId="141" xfId="0" applyFont="1" applyBorder="1" applyAlignment="1">
      <alignment vertical="center"/>
    </xf>
    <xf numFmtId="0" fontId="5" fillId="0" borderId="143" xfId="0" applyFont="1" applyBorder="1" applyAlignment="1">
      <alignment vertical="center"/>
    </xf>
    <xf numFmtId="0" fontId="5" fillId="0" borderId="144" xfId="0" applyFont="1" applyBorder="1" applyAlignment="1">
      <alignment vertical="center"/>
    </xf>
    <xf numFmtId="0" fontId="5" fillId="0" borderId="145" xfId="0" applyFont="1" applyBorder="1" applyAlignment="1">
      <alignment horizontal="center" vertical="center"/>
    </xf>
    <xf numFmtId="164" fontId="5" fillId="5" borderId="148" xfId="0" applyNumberFormat="1" applyFont="1" applyFill="1" applyBorder="1" applyAlignment="1">
      <alignment horizontal="center" vertical="center"/>
    </xf>
    <xf numFmtId="164" fontId="5" fillId="5" borderId="149" xfId="0" applyNumberFormat="1" applyFont="1" applyFill="1" applyBorder="1" applyAlignment="1">
      <alignment horizontal="center" vertical="center"/>
    </xf>
    <xf numFmtId="0" fontId="5" fillId="0" borderId="150" xfId="0" applyFont="1" applyBorder="1" applyAlignment="1">
      <alignment horizontal="center" vertical="center"/>
    </xf>
    <xf numFmtId="164" fontId="5" fillId="5" borderId="153" xfId="0" applyNumberFormat="1" applyFont="1" applyFill="1" applyBorder="1" applyAlignment="1">
      <alignment horizontal="center" vertical="center"/>
    </xf>
    <xf numFmtId="164" fontId="5" fillId="0" borderId="0" xfId="0" applyNumberFormat="1" applyFont="1" applyAlignment="1">
      <alignment vertical="center"/>
    </xf>
    <xf numFmtId="0" fontId="5" fillId="0" borderId="154" xfId="0" applyFont="1" applyBorder="1" applyAlignment="1">
      <alignment horizontal="center" vertical="center"/>
    </xf>
    <xf numFmtId="164" fontId="5" fillId="5" borderId="157" xfId="0" applyNumberFormat="1" applyFont="1" applyFill="1" applyBorder="1" applyAlignment="1">
      <alignment horizontal="center" vertical="center"/>
    </xf>
    <xf numFmtId="164" fontId="5" fillId="5" borderId="158" xfId="0" applyNumberFormat="1" applyFont="1" applyFill="1" applyBorder="1" applyAlignment="1">
      <alignment horizontal="center" vertical="center"/>
    </xf>
    <xf numFmtId="0" fontId="5" fillId="0" borderId="159" xfId="0" applyFont="1" applyBorder="1" applyAlignment="1">
      <alignment horizontal="center" vertical="center"/>
    </xf>
    <xf numFmtId="3" fontId="5" fillId="5" borderId="162" xfId="0" applyNumberFormat="1" applyFont="1" applyFill="1" applyBorder="1" applyAlignment="1">
      <alignment horizontal="center" vertical="center"/>
    </xf>
    <xf numFmtId="3" fontId="5" fillId="5" borderId="163" xfId="0" applyNumberFormat="1" applyFont="1" applyFill="1" applyBorder="1" applyAlignment="1">
      <alignment horizontal="center" vertical="center"/>
    </xf>
    <xf numFmtId="0" fontId="5" fillId="0" borderId="164" xfId="0" applyFont="1" applyBorder="1" applyAlignment="1">
      <alignment horizontal="center" vertical="center"/>
    </xf>
    <xf numFmtId="164" fontId="5" fillId="5" borderId="167" xfId="0" applyNumberFormat="1" applyFont="1" applyFill="1" applyBorder="1" applyAlignment="1">
      <alignment horizontal="center" vertical="center"/>
    </xf>
    <xf numFmtId="164" fontId="5" fillId="5" borderId="168" xfId="0" applyNumberFormat="1" applyFont="1" applyFill="1" applyBorder="1" applyAlignment="1">
      <alignment horizontal="center" vertical="center"/>
    </xf>
    <xf numFmtId="0" fontId="5" fillId="0" borderId="169" xfId="0" applyFont="1" applyBorder="1" applyAlignment="1">
      <alignment horizontal="center" vertical="center"/>
    </xf>
    <xf numFmtId="164" fontId="5" fillId="5" borderId="170" xfId="0" applyNumberFormat="1" applyFont="1" applyFill="1" applyBorder="1" applyAlignment="1">
      <alignment horizontal="center" vertical="center"/>
    </xf>
    <xf numFmtId="0" fontId="5" fillId="0" borderId="171" xfId="0" applyFont="1" applyBorder="1" applyAlignment="1">
      <alignment horizontal="center" vertical="center"/>
    </xf>
    <xf numFmtId="3" fontId="5" fillId="5" borderId="174" xfId="0" applyNumberFormat="1" applyFont="1" applyFill="1" applyBorder="1" applyAlignment="1">
      <alignment horizontal="center" vertical="center"/>
    </xf>
    <xf numFmtId="3" fontId="5" fillId="5" borderId="175" xfId="0" applyNumberFormat="1" applyFont="1" applyFill="1" applyBorder="1" applyAlignment="1">
      <alignment horizontal="center" vertical="center"/>
    </xf>
    <xf numFmtId="0" fontId="5" fillId="0" borderId="176" xfId="0" applyFont="1" applyBorder="1" applyAlignment="1">
      <alignment horizontal="center" vertical="center"/>
    </xf>
    <xf numFmtId="3" fontId="5" fillId="5" borderId="179" xfId="0" applyNumberFormat="1" applyFont="1" applyFill="1" applyBorder="1" applyAlignment="1">
      <alignment horizontal="center" vertical="center"/>
    </xf>
    <xf numFmtId="3" fontId="5" fillId="5" borderId="180" xfId="0" applyNumberFormat="1" applyFont="1" applyFill="1" applyBorder="1" applyAlignment="1">
      <alignment horizontal="center" vertical="center"/>
    </xf>
    <xf numFmtId="0" fontId="5" fillId="0" borderId="181" xfId="0" applyFont="1" applyBorder="1" applyAlignment="1">
      <alignment horizontal="center" vertical="center"/>
    </xf>
    <xf numFmtId="3" fontId="5" fillId="5" borderId="184" xfId="0" applyNumberFormat="1" applyFont="1" applyFill="1" applyBorder="1" applyAlignment="1">
      <alignment horizontal="center" vertical="center"/>
    </xf>
    <xf numFmtId="3" fontId="5" fillId="5" borderId="185" xfId="0" applyNumberFormat="1" applyFont="1" applyFill="1" applyBorder="1" applyAlignment="1">
      <alignment horizontal="center" vertical="center"/>
    </xf>
    <xf numFmtId="0" fontId="5" fillId="0" borderId="186" xfId="0" applyFont="1" applyBorder="1" applyAlignment="1">
      <alignment horizontal="center" vertical="center"/>
    </xf>
    <xf numFmtId="0" fontId="5" fillId="5" borderId="189" xfId="0" applyFont="1" applyFill="1" applyBorder="1" applyAlignment="1">
      <alignment horizontal="center" vertical="center"/>
    </xf>
    <xf numFmtId="0" fontId="5" fillId="5" borderId="190" xfId="0" applyFont="1" applyFill="1" applyBorder="1" applyAlignment="1">
      <alignment horizontal="center" vertical="center"/>
    </xf>
    <xf numFmtId="3" fontId="5" fillId="5" borderId="167" xfId="0" applyNumberFormat="1" applyFont="1" applyFill="1" applyBorder="1" applyAlignment="1">
      <alignment horizontal="center" vertical="center"/>
    </xf>
    <xf numFmtId="3" fontId="5" fillId="5" borderId="168" xfId="0" applyNumberFormat="1" applyFont="1" applyFill="1" applyBorder="1" applyAlignment="1">
      <alignment horizontal="center" vertical="center"/>
    </xf>
    <xf numFmtId="0" fontId="5" fillId="5" borderId="167" xfId="0" applyFont="1" applyFill="1" applyBorder="1" applyAlignment="1">
      <alignment horizontal="center" vertical="center"/>
    </xf>
    <xf numFmtId="0" fontId="5" fillId="5" borderId="170" xfId="0" applyFont="1" applyFill="1" applyBorder="1" applyAlignment="1">
      <alignment horizontal="center" vertical="center"/>
    </xf>
    <xf numFmtId="0" fontId="5" fillId="0" borderId="191" xfId="0" applyFont="1" applyBorder="1" applyAlignment="1">
      <alignment horizontal="center" vertical="center"/>
    </xf>
    <xf numFmtId="3" fontId="5" fillId="5" borderId="194" xfId="0" applyNumberFormat="1" applyFont="1" applyFill="1" applyBorder="1" applyAlignment="1">
      <alignment horizontal="center" vertical="center"/>
    </xf>
    <xf numFmtId="3" fontId="5" fillId="5" borderId="195" xfId="0" applyNumberFormat="1" applyFont="1" applyFill="1" applyBorder="1" applyAlignment="1">
      <alignment horizontal="center" vertical="center"/>
    </xf>
    <xf numFmtId="0" fontId="5" fillId="0" borderId="196" xfId="0" applyFont="1" applyBorder="1" applyAlignment="1">
      <alignment horizontal="center" vertical="center"/>
    </xf>
    <xf numFmtId="3" fontId="5" fillId="5" borderId="199" xfId="0" applyNumberFormat="1" applyFont="1" applyFill="1" applyBorder="1" applyAlignment="1">
      <alignment horizontal="center" vertical="center"/>
    </xf>
    <xf numFmtId="3" fontId="5" fillId="5" borderId="200" xfId="0" applyNumberFormat="1" applyFont="1" applyFill="1" applyBorder="1" applyAlignment="1">
      <alignment horizontal="center" vertical="center"/>
    </xf>
    <xf numFmtId="0" fontId="5" fillId="0" borderId="201" xfId="0" applyFont="1" applyBorder="1" applyAlignment="1">
      <alignment horizontal="center" vertical="center"/>
    </xf>
    <xf numFmtId="3" fontId="5" fillId="5" borderId="204" xfId="0" applyNumberFormat="1" applyFont="1" applyFill="1" applyBorder="1" applyAlignment="1">
      <alignment horizontal="center" vertical="center"/>
    </xf>
    <xf numFmtId="3" fontId="5" fillId="5" borderId="205" xfId="0" applyNumberFormat="1" applyFont="1" applyFill="1" applyBorder="1" applyAlignment="1">
      <alignment horizontal="center" vertical="center"/>
    </xf>
    <xf numFmtId="0" fontId="5" fillId="0" borderId="206" xfId="0" applyFont="1" applyBorder="1" applyAlignment="1">
      <alignment horizontal="center" vertical="center"/>
    </xf>
    <xf numFmtId="0" fontId="5" fillId="5" borderId="209" xfId="0" applyFont="1" applyFill="1" applyBorder="1" applyAlignment="1">
      <alignment horizontal="center" vertical="center"/>
    </xf>
    <xf numFmtId="0" fontId="5" fillId="5" borderId="210" xfId="0" applyFont="1" applyFill="1" applyBorder="1" applyAlignment="1">
      <alignment horizontal="center" vertical="center"/>
    </xf>
    <xf numFmtId="0" fontId="5" fillId="0" borderId="211" xfId="0" applyFont="1" applyBorder="1" applyAlignment="1">
      <alignment horizontal="center" vertical="center"/>
    </xf>
    <xf numFmtId="0" fontId="5" fillId="5" borderId="214" xfId="0" applyFont="1" applyFill="1" applyBorder="1" applyAlignment="1">
      <alignment horizontal="center" vertical="center"/>
    </xf>
    <xf numFmtId="0" fontId="5" fillId="5" borderId="215" xfId="0" applyFont="1" applyFill="1" applyBorder="1" applyAlignment="1">
      <alignment horizontal="center" vertical="center"/>
    </xf>
    <xf numFmtId="0" fontId="5" fillId="0" borderId="216" xfId="0" applyFont="1" applyBorder="1" applyAlignment="1">
      <alignment horizontal="center" vertical="center"/>
    </xf>
    <xf numFmtId="0" fontId="5" fillId="5" borderId="219" xfId="0" applyFont="1" applyFill="1" applyBorder="1" applyAlignment="1">
      <alignment horizontal="center" vertical="center"/>
    </xf>
    <xf numFmtId="0" fontId="5" fillId="5" borderId="220" xfId="0" applyFont="1" applyFill="1" applyBorder="1" applyAlignment="1">
      <alignment horizontal="center" vertical="center"/>
    </xf>
    <xf numFmtId="0" fontId="5" fillId="0" borderId="0" xfId="0" applyFont="1" applyAlignment="1">
      <alignment horizontal="center" vertical="center"/>
    </xf>
    <xf numFmtId="0" fontId="5" fillId="6" borderId="0" xfId="0" applyFont="1" applyFill="1" applyAlignment="1">
      <alignment vertical="center"/>
    </xf>
    <xf numFmtId="3" fontId="5" fillId="6" borderId="0" xfId="0" applyNumberFormat="1" applyFont="1" applyFill="1" applyAlignment="1">
      <alignment horizontal="center" vertical="center"/>
    </xf>
    <xf numFmtId="0" fontId="5" fillId="0" borderId="221" xfId="0" applyFont="1" applyBorder="1" applyAlignment="1">
      <alignment horizontal="center" vertical="center"/>
    </xf>
    <xf numFmtId="3" fontId="5" fillId="5" borderId="224" xfId="0" applyNumberFormat="1" applyFont="1" applyFill="1" applyBorder="1" applyAlignment="1">
      <alignment horizontal="center" vertical="center"/>
    </xf>
    <xf numFmtId="3" fontId="5" fillId="5" borderId="225" xfId="0" applyNumberFormat="1" applyFont="1" applyFill="1" applyBorder="1" applyAlignment="1">
      <alignment horizontal="center" vertical="center"/>
    </xf>
    <xf numFmtId="0" fontId="5" fillId="0" borderId="227" xfId="0" applyFont="1" applyBorder="1" applyAlignment="1">
      <alignment vertical="center"/>
    </xf>
    <xf numFmtId="0" fontId="5" fillId="0" borderId="228" xfId="0" applyFont="1" applyBorder="1" applyAlignment="1">
      <alignment vertical="center"/>
    </xf>
    <xf numFmtId="0" fontId="5" fillId="0" borderId="229" xfId="0" applyFont="1" applyBorder="1" applyAlignment="1">
      <alignment horizontal="center" vertical="center"/>
    </xf>
    <xf numFmtId="3" fontId="63" fillId="5" borderId="148" xfId="0" applyNumberFormat="1" applyFont="1" applyFill="1" applyBorder="1" applyAlignment="1">
      <alignment vertical="center"/>
    </xf>
    <xf numFmtId="3" fontId="63" fillId="5" borderId="149" xfId="0" applyNumberFormat="1" applyFont="1" applyFill="1" applyBorder="1" applyAlignment="1">
      <alignment vertical="center"/>
    </xf>
    <xf numFmtId="0" fontId="5" fillId="0" borderId="230" xfId="0" applyFont="1" applyBorder="1" applyAlignment="1">
      <alignment horizontal="center" vertical="center"/>
    </xf>
    <xf numFmtId="3" fontId="64" fillId="5" borderId="153" xfId="0" applyNumberFormat="1" applyFont="1" applyFill="1" applyBorder="1" applyAlignment="1">
      <alignment vertical="center"/>
    </xf>
    <xf numFmtId="3" fontId="64" fillId="5" borderId="66" xfId="0" applyNumberFormat="1" applyFont="1" applyFill="1" applyBorder="1" applyAlignment="1">
      <alignment vertical="center"/>
    </xf>
    <xf numFmtId="3" fontId="65" fillId="5" borderId="157" xfId="0" applyNumberFormat="1" applyFont="1" applyFill="1" applyBorder="1" applyAlignment="1">
      <alignment vertical="center"/>
    </xf>
    <xf numFmtId="3" fontId="65" fillId="5" borderId="158" xfId="0" applyNumberFormat="1" applyFont="1" applyFill="1" applyBorder="1" applyAlignment="1">
      <alignment vertical="center"/>
    </xf>
    <xf numFmtId="0" fontId="5" fillId="0" borderId="231" xfId="0" applyFont="1" applyBorder="1" applyAlignment="1">
      <alignment horizontal="center" vertical="center"/>
    </xf>
    <xf numFmtId="3" fontId="66" fillId="5" borderId="234" xfId="0" applyNumberFormat="1" applyFont="1" applyFill="1" applyBorder="1" applyAlignment="1">
      <alignment vertical="center"/>
    </xf>
    <xf numFmtId="3" fontId="66" fillId="5" borderId="235" xfId="0" applyNumberFormat="1" applyFont="1" applyFill="1" applyBorder="1" applyAlignment="1">
      <alignment vertical="center"/>
    </xf>
    <xf numFmtId="0" fontId="5" fillId="0" borderId="236" xfId="0" applyFont="1" applyBorder="1" applyAlignment="1">
      <alignment horizontal="center" vertical="center"/>
    </xf>
    <xf numFmtId="3" fontId="67" fillId="5" borderId="239" xfId="0" applyNumberFormat="1" applyFont="1" applyFill="1" applyBorder="1" applyAlignment="1">
      <alignment vertical="center"/>
    </xf>
    <xf numFmtId="3" fontId="67" fillId="5" borderId="240" xfId="0" applyNumberFormat="1" applyFont="1" applyFill="1" applyBorder="1" applyAlignment="1">
      <alignment vertical="center"/>
    </xf>
    <xf numFmtId="0" fontId="5" fillId="0" borderId="241" xfId="0" applyFont="1" applyBorder="1" applyAlignment="1">
      <alignment horizontal="center" vertical="center"/>
    </xf>
    <xf numFmtId="3" fontId="68" fillId="5" borderId="244" xfId="0" applyNumberFormat="1" applyFont="1" applyFill="1" applyBorder="1" applyAlignment="1">
      <alignment vertical="center"/>
    </xf>
    <xf numFmtId="3" fontId="68" fillId="5" borderId="245" xfId="0" applyNumberFormat="1" applyFont="1" applyFill="1" applyBorder="1" applyAlignment="1">
      <alignment vertical="center"/>
    </xf>
    <xf numFmtId="0" fontId="5" fillId="0" borderId="246" xfId="0" applyFont="1" applyBorder="1" applyAlignment="1">
      <alignment horizontal="center" vertical="center"/>
    </xf>
    <xf numFmtId="3" fontId="69" fillId="5" borderId="244" xfId="0" applyNumberFormat="1" applyFont="1" applyFill="1" applyBorder="1" applyAlignment="1">
      <alignment vertical="center"/>
    </xf>
    <xf numFmtId="3" fontId="69" fillId="5" borderId="247" xfId="0" applyNumberFormat="1" applyFont="1" applyFill="1" applyBorder="1" applyAlignment="1">
      <alignment vertical="center"/>
    </xf>
    <xf numFmtId="3" fontId="63" fillId="5" borderId="179" xfId="0" applyNumberFormat="1" applyFont="1" applyFill="1" applyBorder="1" applyAlignment="1">
      <alignment vertical="center"/>
    </xf>
    <xf numFmtId="3" fontId="63" fillId="5" borderId="180" xfId="0" applyNumberFormat="1" applyFont="1" applyFill="1" applyBorder="1" applyAlignment="1">
      <alignment vertical="center"/>
    </xf>
    <xf numFmtId="3" fontId="64" fillId="5" borderId="184" xfId="0" applyNumberFormat="1" applyFont="1" applyFill="1" applyBorder="1" applyAlignment="1">
      <alignment vertical="center"/>
    </xf>
    <xf numFmtId="3" fontId="64" fillId="5" borderId="185" xfId="0" applyNumberFormat="1" applyFont="1" applyFill="1" applyBorder="1" applyAlignment="1">
      <alignment vertical="center"/>
    </xf>
    <xf numFmtId="3" fontId="65" fillId="5" borderId="189" xfId="0" applyNumberFormat="1" applyFont="1" applyFill="1" applyBorder="1" applyAlignment="1">
      <alignment vertical="center"/>
    </xf>
    <xf numFmtId="3" fontId="65" fillId="5" borderId="190" xfId="0" applyNumberFormat="1" applyFont="1" applyFill="1" applyBorder="1" applyAlignment="1">
      <alignment vertical="center"/>
    </xf>
    <xf numFmtId="3" fontId="66" fillId="5" borderId="162" xfId="0" applyNumberFormat="1" applyFont="1" applyFill="1" applyBorder="1" applyAlignment="1">
      <alignment vertical="center"/>
    </xf>
    <xf numFmtId="3" fontId="66" fillId="5" borderId="163" xfId="0" applyNumberFormat="1" applyFont="1" applyFill="1" applyBorder="1" applyAlignment="1">
      <alignment vertical="center"/>
    </xf>
    <xf numFmtId="0" fontId="5" fillId="0" borderId="248" xfId="0" applyFont="1" applyBorder="1" applyAlignment="1">
      <alignment horizontal="center" vertical="center"/>
    </xf>
    <xf numFmtId="3" fontId="68" fillId="5" borderId="251" xfId="0" applyNumberFormat="1" applyFont="1" applyFill="1" applyBorder="1" applyAlignment="1">
      <alignment vertical="center"/>
    </xf>
    <xf numFmtId="3" fontId="68" fillId="5" borderId="252" xfId="0" applyNumberFormat="1" applyFont="1" applyFill="1" applyBorder="1" applyAlignment="1">
      <alignment vertical="center"/>
    </xf>
    <xf numFmtId="0" fontId="5" fillId="0" borderId="253" xfId="0" applyFont="1" applyBorder="1" applyAlignment="1">
      <alignment horizontal="center" vertical="center"/>
    </xf>
    <xf numFmtId="3" fontId="69" fillId="5" borderId="251" xfId="0" applyNumberFormat="1" applyFont="1" applyFill="1" applyBorder="1" applyAlignment="1">
      <alignment vertical="center"/>
    </xf>
    <xf numFmtId="3" fontId="69" fillId="5" borderId="254" xfId="0" applyNumberFormat="1" applyFont="1" applyFill="1" applyBorder="1" applyAlignment="1">
      <alignment vertical="center"/>
    </xf>
    <xf numFmtId="0" fontId="5" fillId="0" borderId="255" xfId="0" applyFont="1" applyBorder="1" applyAlignment="1">
      <alignment horizontal="center" vertical="center"/>
    </xf>
    <xf numFmtId="3" fontId="68" fillId="5" borderId="258" xfId="0" applyNumberFormat="1" applyFont="1" applyFill="1" applyBorder="1" applyAlignment="1">
      <alignment vertical="center"/>
    </xf>
    <xf numFmtId="3" fontId="68" fillId="5" borderId="259" xfId="0" applyNumberFormat="1" applyFont="1" applyFill="1" applyBorder="1" applyAlignment="1">
      <alignment vertical="center"/>
    </xf>
    <xf numFmtId="0" fontId="5" fillId="0" borderId="260" xfId="0" applyFont="1" applyBorder="1" applyAlignment="1">
      <alignment horizontal="center" vertical="center"/>
    </xf>
    <xf numFmtId="3" fontId="67" fillId="5" borderId="263" xfId="0" applyNumberFormat="1" applyFont="1" applyFill="1" applyBorder="1" applyAlignment="1">
      <alignment vertical="center"/>
    </xf>
    <xf numFmtId="3" fontId="67" fillId="5" borderId="264" xfId="0" applyNumberFormat="1" applyFont="1" applyFill="1" applyBorder="1" applyAlignment="1">
      <alignment vertical="center"/>
    </xf>
    <xf numFmtId="0" fontId="5" fillId="0" borderId="265" xfId="0" applyFont="1" applyBorder="1" applyAlignment="1">
      <alignment horizontal="center" vertical="center"/>
    </xf>
    <xf numFmtId="3" fontId="64" fillId="5" borderId="199" xfId="0" applyNumberFormat="1" applyFont="1" applyFill="1" applyBorder="1" applyAlignment="1">
      <alignment vertical="center"/>
    </xf>
    <xf numFmtId="3" fontId="64" fillId="5" borderId="200" xfId="0" applyNumberFormat="1" applyFont="1" applyFill="1" applyBorder="1" applyAlignment="1">
      <alignment vertical="center"/>
    </xf>
    <xf numFmtId="3" fontId="66" fillId="5" borderId="224" xfId="0" applyNumberFormat="1" applyFont="1" applyFill="1" applyBorder="1" applyAlignment="1">
      <alignment vertical="center"/>
    </xf>
    <xf numFmtId="3" fontId="66" fillId="5" borderId="225" xfId="0" applyNumberFormat="1" applyFont="1" applyFill="1" applyBorder="1" applyAlignment="1">
      <alignment vertical="center"/>
    </xf>
    <xf numFmtId="3" fontId="67" fillId="5" borderId="167" xfId="0" applyNumberFormat="1" applyFont="1" applyFill="1" applyBorder="1" applyAlignment="1">
      <alignment vertical="center"/>
    </xf>
    <xf numFmtId="3" fontId="67" fillId="5" borderId="168" xfId="0" applyNumberFormat="1" applyFont="1" applyFill="1" applyBorder="1" applyAlignment="1">
      <alignment vertical="center"/>
    </xf>
    <xf numFmtId="0" fontId="5" fillId="0" borderId="266" xfId="0" applyFont="1" applyBorder="1" applyAlignment="1">
      <alignment horizontal="center" vertical="center"/>
    </xf>
    <xf numFmtId="3" fontId="69" fillId="5" borderId="269" xfId="0" applyNumberFormat="1" applyFont="1" applyFill="1" applyBorder="1" applyAlignment="1">
      <alignment vertical="center"/>
    </xf>
    <xf numFmtId="3" fontId="69" fillId="5" borderId="270" xfId="0" applyNumberFormat="1" applyFont="1" applyFill="1" applyBorder="1" applyAlignment="1">
      <alignment vertical="center"/>
    </xf>
    <xf numFmtId="3" fontId="68" fillId="5" borderId="251" xfId="0" applyNumberFormat="1" applyFont="1" applyFill="1" applyBorder="1" applyAlignment="1">
      <alignment horizontal="center" vertical="center"/>
    </xf>
    <xf numFmtId="3" fontId="68" fillId="5" borderId="258" xfId="0" applyNumberFormat="1" applyFont="1" applyFill="1" applyBorder="1" applyAlignment="1">
      <alignment horizontal="center" vertical="center"/>
    </xf>
    <xf numFmtId="0" fontId="5" fillId="0" borderId="271" xfId="0" applyFont="1" applyBorder="1" applyAlignment="1">
      <alignment horizontal="center" vertical="center"/>
    </xf>
    <xf numFmtId="3" fontId="69" fillId="5" borderId="274" xfId="0" applyNumberFormat="1" applyFont="1" applyFill="1" applyBorder="1" applyAlignment="1">
      <alignment vertical="center"/>
    </xf>
    <xf numFmtId="3" fontId="69" fillId="5" borderId="275" xfId="0" applyNumberFormat="1" applyFont="1" applyFill="1" applyBorder="1" applyAlignment="1">
      <alignment vertical="center"/>
    </xf>
    <xf numFmtId="3" fontId="65" fillId="5" borderId="204" xfId="0" applyNumberFormat="1" applyFont="1" applyFill="1" applyBorder="1" applyAlignment="1">
      <alignment vertical="center"/>
    </xf>
    <xf numFmtId="3" fontId="65" fillId="5" borderId="205" xfId="0" applyNumberFormat="1" applyFont="1" applyFill="1" applyBorder="1" applyAlignment="1">
      <alignment vertical="center"/>
    </xf>
    <xf numFmtId="3" fontId="69" fillId="5" borderId="174" xfId="0" applyNumberFormat="1" applyFont="1" applyFill="1" applyBorder="1" applyAlignment="1">
      <alignment vertical="center"/>
    </xf>
    <xf numFmtId="3" fontId="69" fillId="5" borderId="175" xfId="0" applyNumberFormat="1" applyFont="1" applyFill="1" applyBorder="1" applyAlignment="1">
      <alignment vertical="center"/>
    </xf>
    <xf numFmtId="0" fontId="5" fillId="0" borderId="276" xfId="0" applyFont="1" applyBorder="1" applyAlignment="1">
      <alignment horizontal="center" vertical="center"/>
    </xf>
    <xf numFmtId="3" fontId="63" fillId="5" borderId="194" xfId="0" applyNumberFormat="1" applyFont="1" applyFill="1" applyBorder="1" applyAlignment="1">
      <alignment vertical="center"/>
    </xf>
    <xf numFmtId="3" fontId="63" fillId="5" borderId="195" xfId="0" applyNumberFormat="1" applyFont="1" applyFill="1" applyBorder="1" applyAlignment="1">
      <alignment vertical="center"/>
    </xf>
    <xf numFmtId="0" fontId="66" fillId="0" borderId="227" xfId="0" applyFont="1" applyBorder="1" applyAlignment="1">
      <alignment vertical="center"/>
    </xf>
    <xf numFmtId="0" fontId="66" fillId="0" borderId="228" xfId="0" applyFont="1" applyBorder="1" applyAlignment="1">
      <alignment vertical="center"/>
    </xf>
    <xf numFmtId="3" fontId="69" fillId="5" borderId="219" xfId="0" applyNumberFormat="1" applyFont="1" applyFill="1" applyBorder="1" applyAlignment="1">
      <alignment horizontal="center" vertical="center"/>
    </xf>
    <xf numFmtId="3" fontId="69" fillId="5" borderId="219" xfId="0" applyNumberFormat="1" applyFont="1" applyFill="1" applyBorder="1" applyAlignment="1">
      <alignment vertical="center"/>
    </xf>
    <xf numFmtId="3" fontId="69" fillId="5" borderId="220" xfId="0" applyNumberFormat="1" applyFont="1" applyFill="1" applyBorder="1" applyAlignment="1">
      <alignment vertical="center"/>
    </xf>
    <xf numFmtId="0" fontId="7" fillId="0" borderId="230" xfId="0" applyFont="1" applyBorder="1" applyAlignment="1">
      <alignment horizontal="center" vertical="center"/>
    </xf>
    <xf numFmtId="3" fontId="67" fillId="5" borderId="209" xfId="0" applyNumberFormat="1" applyFont="1" applyFill="1" applyBorder="1" applyAlignment="1">
      <alignment vertical="center"/>
    </xf>
    <xf numFmtId="3" fontId="67" fillId="5" borderId="210" xfId="0" applyNumberFormat="1" applyFont="1" applyFill="1" applyBorder="1" applyAlignment="1">
      <alignment vertical="center"/>
    </xf>
    <xf numFmtId="3" fontId="63" fillId="5" borderId="184" xfId="0" applyNumberFormat="1" applyFont="1" applyFill="1" applyBorder="1" applyAlignment="1">
      <alignment horizontal="center" vertical="center"/>
    </xf>
    <xf numFmtId="3" fontId="66" fillId="5" borderId="277" xfId="0" applyNumberFormat="1" applyFont="1" applyFill="1" applyBorder="1" applyAlignment="1">
      <alignment horizontal="center" vertical="center"/>
    </xf>
    <xf numFmtId="0" fontId="66" fillId="0" borderId="279" xfId="0" applyFont="1" applyBorder="1" applyAlignment="1">
      <alignment vertical="center"/>
    </xf>
    <xf numFmtId="0" fontId="66" fillId="0" borderId="280" xfId="0" applyFont="1" applyBorder="1" applyAlignment="1">
      <alignment vertical="center"/>
    </xf>
    <xf numFmtId="3" fontId="63" fillId="5" borderId="199" xfId="0" applyNumberFormat="1" applyFont="1" applyFill="1" applyBorder="1" applyAlignment="1">
      <alignment horizontal="center" vertical="center"/>
    </xf>
    <xf numFmtId="0" fontId="5" fillId="0" borderId="281" xfId="0" applyFont="1" applyBorder="1" applyAlignment="1">
      <alignment horizontal="center" vertical="center"/>
    </xf>
    <xf numFmtId="3" fontId="69" fillId="5" borderId="284" xfId="0" applyNumberFormat="1" applyFont="1" applyFill="1" applyBorder="1" applyAlignment="1">
      <alignment vertical="center"/>
    </xf>
    <xf numFmtId="3" fontId="69" fillId="5" borderId="285" xfId="0" applyNumberFormat="1" applyFont="1" applyFill="1" applyBorder="1" applyAlignment="1">
      <alignment vertical="center"/>
    </xf>
    <xf numFmtId="3" fontId="66" fillId="5" borderId="263" xfId="0" applyNumberFormat="1" applyFont="1" applyFill="1" applyBorder="1" applyAlignment="1">
      <alignment horizontal="center" vertical="center"/>
    </xf>
    <xf numFmtId="0" fontId="5" fillId="0" borderId="286" xfId="0" applyFont="1" applyBorder="1" applyAlignment="1">
      <alignment horizontal="center" vertical="center"/>
    </xf>
    <xf numFmtId="3" fontId="69" fillId="5" borderId="179" xfId="0" applyNumberFormat="1" applyFont="1" applyFill="1" applyBorder="1" applyAlignment="1">
      <alignment vertical="center"/>
    </xf>
    <xf numFmtId="3" fontId="69" fillId="5" borderId="180" xfId="0" applyNumberFormat="1" applyFont="1" applyFill="1" applyBorder="1" applyAlignment="1">
      <alignment vertical="center"/>
    </xf>
    <xf numFmtId="3" fontId="66" fillId="5" borderId="167" xfId="0" applyNumberFormat="1" applyFont="1" applyFill="1" applyBorder="1" applyAlignment="1">
      <alignment horizontal="center" vertical="center"/>
    </xf>
    <xf numFmtId="3" fontId="66" fillId="5" borderId="288" xfId="0" applyNumberFormat="1" applyFont="1" applyFill="1" applyBorder="1" applyAlignment="1">
      <alignment horizontal="center" vertical="center"/>
    </xf>
    <xf numFmtId="3" fontId="69" fillId="5" borderId="179" xfId="0" applyNumberFormat="1" applyFont="1" applyFill="1" applyBorder="1" applyAlignment="1">
      <alignment horizontal="center" vertical="center"/>
    </xf>
    <xf numFmtId="3" fontId="66" fillId="5" borderId="224" xfId="0" applyNumberFormat="1" applyFont="1" applyFill="1" applyBorder="1" applyAlignment="1">
      <alignment horizontal="center" vertical="center"/>
    </xf>
    <xf numFmtId="0" fontId="68" fillId="0" borderId="0" xfId="0" applyFont="1" applyAlignment="1">
      <alignment vertical="center"/>
    </xf>
    <xf numFmtId="3" fontId="63" fillId="5" borderId="179" xfId="0" applyNumberFormat="1" applyFont="1" applyFill="1" applyBorder="1" applyAlignment="1">
      <alignment horizontal="center" vertical="center"/>
    </xf>
    <xf numFmtId="0" fontId="68" fillId="0" borderId="227" xfId="0" applyFont="1" applyBorder="1" applyAlignment="1">
      <alignment vertical="center"/>
    </xf>
    <xf numFmtId="0" fontId="68" fillId="0" borderId="228" xfId="0" applyFont="1" applyBorder="1" applyAlignment="1">
      <alignment vertical="center"/>
    </xf>
    <xf numFmtId="0" fontId="5" fillId="0" borderId="289" xfId="0" applyFont="1" applyBorder="1" applyAlignment="1">
      <alignment horizontal="center" vertical="center"/>
    </xf>
    <xf numFmtId="3" fontId="69" fillId="5" borderId="194" xfId="0" applyNumberFormat="1" applyFont="1" applyFill="1" applyBorder="1" applyAlignment="1">
      <alignment horizontal="center" vertical="center"/>
    </xf>
    <xf numFmtId="3" fontId="69" fillId="5" borderId="195" xfId="0" applyNumberFormat="1" applyFont="1" applyFill="1" applyBorder="1" applyAlignment="1">
      <alignment vertical="center"/>
    </xf>
    <xf numFmtId="0" fontId="69" fillId="0" borderId="0" xfId="0" applyFont="1" applyAlignment="1">
      <alignment vertical="center"/>
    </xf>
    <xf numFmtId="0" fontId="69" fillId="0" borderId="279" xfId="0" applyFont="1" applyBorder="1" applyAlignment="1">
      <alignment vertical="center"/>
    </xf>
    <xf numFmtId="0" fontId="69" fillId="0" borderId="280" xfId="0" applyFont="1" applyBorder="1" applyAlignment="1">
      <alignment vertical="center"/>
    </xf>
    <xf numFmtId="0" fontId="5" fillId="0" borderId="291" xfId="0" applyFont="1" applyBorder="1" applyAlignment="1">
      <alignment horizontal="center" vertical="center"/>
    </xf>
    <xf numFmtId="3" fontId="5" fillId="5" borderId="153" xfId="0" applyNumberFormat="1" applyFont="1" applyFill="1" applyBorder="1" applyAlignment="1">
      <alignment horizontal="center" vertical="center"/>
    </xf>
    <xf numFmtId="3" fontId="5" fillId="5" borderId="66" xfId="0" applyNumberFormat="1" applyFont="1" applyFill="1" applyBorder="1" applyAlignment="1">
      <alignment horizontal="center" vertical="center"/>
    </xf>
    <xf numFmtId="0" fontId="5" fillId="0" borderId="293" xfId="0" applyFont="1" applyBorder="1" applyAlignment="1">
      <alignment horizontal="center" vertical="center"/>
    </xf>
    <xf numFmtId="0" fontId="65" fillId="0" borderId="131" xfId="0" applyFont="1" applyBorder="1" applyAlignment="1">
      <alignment vertical="center"/>
    </xf>
    <xf numFmtId="0" fontId="65" fillId="0" borderId="132" xfId="0" applyFont="1" applyBorder="1" applyAlignment="1">
      <alignment vertical="center"/>
    </xf>
    <xf numFmtId="3" fontId="66" fillId="5" borderId="209" xfId="0" applyNumberFormat="1" applyFont="1" applyFill="1" applyBorder="1" applyAlignment="1">
      <alignment horizontal="center" vertical="center"/>
    </xf>
    <xf numFmtId="3" fontId="63" fillId="5" borderId="194" xfId="0" applyNumberFormat="1" applyFont="1" applyFill="1" applyBorder="1" applyAlignment="1">
      <alignment horizontal="center" vertical="center"/>
    </xf>
    <xf numFmtId="0" fontId="66" fillId="0" borderId="131" xfId="0" applyFont="1" applyBorder="1" applyAlignment="1">
      <alignment vertical="center"/>
    </xf>
    <xf numFmtId="0" fontId="66" fillId="0" borderId="132" xfId="0" applyFont="1" applyBorder="1" applyAlignment="1">
      <alignment vertical="center"/>
    </xf>
    <xf numFmtId="0" fontId="66" fillId="0" borderId="137" xfId="0" applyFont="1" applyBorder="1" applyAlignment="1">
      <alignment vertical="center"/>
    </xf>
    <xf numFmtId="0" fontId="66" fillId="0" borderId="138" xfId="0" applyFont="1" applyBorder="1" applyAlignment="1">
      <alignment vertical="center"/>
    </xf>
    <xf numFmtId="3" fontId="66" fillId="5" borderId="157" xfId="0" applyNumberFormat="1" applyFont="1" applyFill="1" applyBorder="1" applyAlignment="1">
      <alignment vertical="center"/>
    </xf>
    <xf numFmtId="3" fontId="66" fillId="5" borderId="158" xfId="0" applyNumberFormat="1" applyFont="1" applyFill="1" applyBorder="1" applyAlignment="1">
      <alignment vertical="center"/>
    </xf>
    <xf numFmtId="0" fontId="6" fillId="0" borderId="0" xfId="0" applyFont="1"/>
    <xf numFmtId="0" fontId="5" fillId="0" borderId="298" xfId="0" applyFont="1" applyBorder="1" applyAlignment="1">
      <alignment horizontal="center" vertical="center"/>
    </xf>
    <xf numFmtId="3" fontId="65" fillId="5" borderId="189" xfId="0" applyNumberFormat="1" applyFont="1" applyFill="1" applyBorder="1" applyAlignment="1">
      <alignment horizontal="center" vertical="center"/>
    </xf>
    <xf numFmtId="3" fontId="66" fillId="5" borderId="189" xfId="0" applyNumberFormat="1" applyFont="1" applyFill="1" applyBorder="1" applyAlignment="1">
      <alignment vertical="center"/>
    </xf>
    <xf numFmtId="3" fontId="66" fillId="5" borderId="190" xfId="0" applyNumberFormat="1" applyFont="1" applyFill="1" applyBorder="1" applyAlignment="1">
      <alignment vertical="center"/>
    </xf>
    <xf numFmtId="3" fontId="65" fillId="5" borderId="204" xfId="0" applyNumberFormat="1" applyFont="1" applyFill="1" applyBorder="1" applyAlignment="1">
      <alignment horizontal="center" vertical="center"/>
    </xf>
    <xf numFmtId="3" fontId="66" fillId="5" borderId="189" xfId="0" applyNumberFormat="1" applyFont="1" applyFill="1" applyBorder="1" applyAlignment="1">
      <alignment horizontal="center" vertical="center"/>
    </xf>
    <xf numFmtId="3" fontId="67" fillId="5" borderId="167" xfId="0" applyNumberFormat="1" applyFont="1" applyFill="1" applyBorder="1" applyAlignment="1">
      <alignment horizontal="center" vertical="center"/>
    </xf>
    <xf numFmtId="0" fontId="65" fillId="0" borderId="0" xfId="0" applyFont="1" applyAlignment="1">
      <alignment vertical="center"/>
    </xf>
    <xf numFmtId="3" fontId="64" fillId="5" borderId="199" xfId="0" applyNumberFormat="1" applyFont="1" applyFill="1" applyBorder="1" applyAlignment="1">
      <alignment horizontal="center" vertical="center"/>
    </xf>
    <xf numFmtId="3" fontId="66" fillId="5" borderId="204" xfId="0" applyNumberFormat="1" applyFont="1" applyFill="1" applyBorder="1" applyAlignment="1">
      <alignment horizontal="center" vertical="center"/>
    </xf>
    <xf numFmtId="3" fontId="66" fillId="5" borderId="205" xfId="0" applyNumberFormat="1" applyFont="1" applyFill="1" applyBorder="1" applyAlignment="1">
      <alignment vertical="center"/>
    </xf>
    <xf numFmtId="3" fontId="67" fillId="5" borderId="209" xfId="0" applyNumberFormat="1" applyFont="1" applyFill="1" applyBorder="1" applyAlignment="1">
      <alignment horizontal="center" vertical="center"/>
    </xf>
    <xf numFmtId="0" fontId="66" fillId="0" borderId="0" xfId="0" applyFont="1" applyAlignment="1">
      <alignment vertical="center"/>
    </xf>
    <xf numFmtId="0" fontId="67" fillId="0" borderId="0" xfId="0" applyFont="1" applyAlignment="1">
      <alignment vertical="center"/>
    </xf>
    <xf numFmtId="0" fontId="67" fillId="0" borderId="137" xfId="0" applyFont="1" applyBorder="1" applyAlignment="1">
      <alignment vertical="center"/>
    </xf>
    <xf numFmtId="0" fontId="67" fillId="0" borderId="138" xfId="0" applyFont="1" applyBorder="1" applyAlignment="1">
      <alignment vertical="center"/>
    </xf>
    <xf numFmtId="3" fontId="64" fillId="5" borderId="184" xfId="0" applyNumberFormat="1" applyFont="1" applyFill="1" applyBorder="1" applyAlignment="1">
      <alignment horizontal="center" vertical="center"/>
    </xf>
    <xf numFmtId="164" fontId="6" fillId="0" borderId="0" xfId="0" applyNumberFormat="1" applyFont="1"/>
    <xf numFmtId="0" fontId="5" fillId="0" borderId="278" xfId="0" applyFont="1" applyBorder="1" applyAlignment="1">
      <alignment horizontal="center" vertical="center"/>
    </xf>
    <xf numFmtId="0" fontId="5" fillId="0" borderId="317" xfId="0" applyFont="1" applyBorder="1" applyAlignment="1">
      <alignment horizontal="center" vertical="center"/>
    </xf>
    <xf numFmtId="3" fontId="5" fillId="5" borderId="189" xfId="0" applyNumberFormat="1" applyFont="1" applyFill="1" applyBorder="1" applyAlignment="1">
      <alignment horizontal="center" vertical="center"/>
    </xf>
    <xf numFmtId="3" fontId="5" fillId="5" borderId="190" xfId="0" applyNumberFormat="1" applyFont="1" applyFill="1" applyBorder="1" applyAlignment="1">
      <alignment horizontal="center" vertical="center"/>
    </xf>
    <xf numFmtId="0" fontId="5" fillId="0" borderId="323" xfId="0" applyFont="1" applyBorder="1" applyAlignment="1">
      <alignment horizontal="center" vertical="center"/>
    </xf>
    <xf numFmtId="164" fontId="5" fillId="5" borderId="162" xfId="0" applyNumberFormat="1" applyFont="1" applyFill="1" applyBorder="1" applyAlignment="1">
      <alignment horizontal="center" vertical="center"/>
    </xf>
    <xf numFmtId="164" fontId="5" fillId="5" borderId="163" xfId="0" applyNumberFormat="1" applyFont="1" applyFill="1" applyBorder="1" applyAlignment="1">
      <alignment horizontal="center" vertical="center"/>
    </xf>
    <xf numFmtId="0" fontId="5" fillId="5" borderId="162" xfId="0" applyFont="1" applyFill="1" applyBorder="1" applyAlignment="1">
      <alignment horizontal="center" vertical="center"/>
    </xf>
    <xf numFmtId="0" fontId="5" fillId="5" borderId="163" xfId="0" applyFont="1" applyFill="1" applyBorder="1" applyAlignment="1">
      <alignment horizontal="center" vertical="center"/>
    </xf>
    <xf numFmtId="164" fontId="5" fillId="5" borderId="263" xfId="0" applyNumberFormat="1" applyFont="1" applyFill="1" applyBorder="1" applyAlignment="1">
      <alignment horizontal="center" vertical="center"/>
    </xf>
    <xf numFmtId="164" fontId="5" fillId="5" borderId="264" xfId="0" applyNumberFormat="1" applyFont="1" applyFill="1" applyBorder="1" applyAlignment="1">
      <alignment horizontal="center" vertical="center"/>
    </xf>
    <xf numFmtId="3" fontId="5" fillId="5" borderId="209" xfId="0" applyNumberFormat="1" applyFont="1" applyFill="1" applyBorder="1" applyAlignment="1">
      <alignment horizontal="center" vertical="center"/>
    </xf>
    <xf numFmtId="3" fontId="5" fillId="5" borderId="210" xfId="0" applyNumberFormat="1" applyFont="1" applyFill="1" applyBorder="1" applyAlignment="1">
      <alignment horizontal="center" vertical="center"/>
    </xf>
    <xf numFmtId="0" fontId="5" fillId="0" borderId="330" xfId="0" applyFont="1" applyBorder="1" applyAlignment="1">
      <alignment horizontal="center" vertical="center"/>
    </xf>
    <xf numFmtId="164" fontId="5" fillId="5" borderId="244" xfId="0" applyNumberFormat="1" applyFont="1" applyFill="1" applyBorder="1" applyAlignment="1">
      <alignment horizontal="center" vertical="center"/>
    </xf>
    <xf numFmtId="164" fontId="5" fillId="5" borderId="245" xfId="0" applyNumberFormat="1" applyFont="1" applyFill="1" applyBorder="1" applyAlignment="1">
      <alignment horizontal="center" vertical="center"/>
    </xf>
    <xf numFmtId="3" fontId="5" fillId="5" borderId="251" xfId="0" applyNumberFormat="1" applyFont="1" applyFill="1" applyBorder="1" applyAlignment="1">
      <alignment horizontal="center" vertical="center"/>
    </xf>
    <xf numFmtId="3" fontId="5" fillId="5" borderId="252" xfId="0" applyNumberFormat="1" applyFont="1" applyFill="1" applyBorder="1" applyAlignment="1">
      <alignment horizontal="center" vertical="center"/>
    </xf>
    <xf numFmtId="3" fontId="5" fillId="5" borderId="258" xfId="0" applyNumberFormat="1" applyFont="1" applyFill="1" applyBorder="1" applyAlignment="1">
      <alignment horizontal="center" vertical="center"/>
    </xf>
    <xf numFmtId="3" fontId="5" fillId="5" borderId="259" xfId="0" applyNumberFormat="1" applyFont="1" applyFill="1" applyBorder="1" applyAlignment="1">
      <alignment horizontal="center" vertical="center"/>
    </xf>
    <xf numFmtId="0" fontId="5" fillId="0" borderId="337" xfId="0" applyFont="1" applyBorder="1" applyAlignment="1">
      <alignment horizontal="center" vertical="center"/>
    </xf>
    <xf numFmtId="0" fontId="5" fillId="0" borderId="344" xfId="0" applyFont="1" applyBorder="1" applyAlignment="1">
      <alignment horizontal="center" vertical="center"/>
    </xf>
    <xf numFmtId="3" fontId="69" fillId="5" borderId="347" xfId="0" applyNumberFormat="1" applyFont="1" applyFill="1" applyBorder="1" applyAlignment="1">
      <alignment vertical="center"/>
    </xf>
    <xf numFmtId="3" fontId="69" fillId="5" borderId="348" xfId="0" applyNumberFormat="1" applyFont="1" applyFill="1" applyBorder="1" applyAlignment="1">
      <alignment vertical="center"/>
    </xf>
    <xf numFmtId="0" fontId="5" fillId="0" borderId="349" xfId="0" applyFont="1" applyBorder="1" applyAlignment="1">
      <alignment horizontal="center" vertical="center"/>
    </xf>
    <xf numFmtId="3" fontId="69" fillId="5" borderId="352" xfId="0" applyNumberFormat="1" applyFont="1" applyFill="1" applyBorder="1" applyAlignment="1">
      <alignment vertical="center"/>
    </xf>
    <xf numFmtId="3" fontId="69" fillId="5" borderId="353" xfId="0" applyNumberFormat="1" applyFont="1" applyFill="1" applyBorder="1" applyAlignment="1">
      <alignment vertical="center"/>
    </xf>
    <xf numFmtId="0" fontId="5" fillId="0" borderId="354" xfId="0" applyFont="1" applyBorder="1" applyAlignment="1">
      <alignment horizontal="center" vertical="center"/>
    </xf>
    <xf numFmtId="3" fontId="69" fillId="5" borderId="357" xfId="0" applyNumberFormat="1" applyFont="1" applyFill="1" applyBorder="1" applyAlignment="1">
      <alignment vertical="center"/>
    </xf>
    <xf numFmtId="3" fontId="69" fillId="5" borderId="358" xfId="0" applyNumberFormat="1" applyFont="1" applyFill="1" applyBorder="1" applyAlignment="1">
      <alignment vertical="center"/>
    </xf>
    <xf numFmtId="0" fontId="5" fillId="0" borderId="279" xfId="0" applyFont="1" applyBorder="1" applyAlignment="1">
      <alignment vertical="center"/>
    </xf>
    <xf numFmtId="0" fontId="5" fillId="0" borderId="280" xfId="0" applyFont="1" applyBorder="1" applyAlignment="1">
      <alignment vertical="center"/>
    </xf>
    <xf numFmtId="164" fontId="5" fillId="5" borderId="284" xfId="0" applyNumberFormat="1" applyFont="1" applyFill="1" applyBorder="1" applyAlignment="1">
      <alignment horizontal="center" vertical="center"/>
    </xf>
    <xf numFmtId="164" fontId="5" fillId="5" borderId="285" xfId="0" applyNumberFormat="1" applyFont="1" applyFill="1" applyBorder="1" applyAlignment="1">
      <alignment horizontal="center" vertical="center"/>
    </xf>
    <xf numFmtId="0" fontId="5" fillId="0" borderId="359"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wrapText="1"/>
    </xf>
    <xf numFmtId="0" fontId="74" fillId="0" borderId="0" xfId="0" applyFont="1" applyAlignment="1">
      <alignment vertical="center"/>
    </xf>
    <xf numFmtId="0" fontId="74" fillId="0" borderId="0" xfId="0" applyFont="1" applyAlignment="1">
      <alignment horizontal="center" vertical="center" wrapText="1"/>
    </xf>
    <xf numFmtId="0" fontId="75" fillId="0" borderId="0" xfId="0" applyFont="1"/>
    <xf numFmtId="0" fontId="75" fillId="0" borderId="361" xfId="0" applyFont="1" applyBorder="1" applyAlignment="1">
      <alignment horizontal="center" vertical="center" wrapText="1"/>
    </xf>
    <xf numFmtId="0" fontId="75" fillId="0" borderId="0" xfId="0" applyFont="1" applyAlignment="1">
      <alignment horizontal="center" vertical="center"/>
    </xf>
    <xf numFmtId="0" fontId="76" fillId="0" borderId="0" xfId="0" applyFont="1"/>
    <xf numFmtId="0" fontId="75" fillId="16" borderId="0" xfId="0" applyFont="1" applyFill="1"/>
    <xf numFmtId="0" fontId="75" fillId="16" borderId="0" xfId="0" applyFont="1" applyFill="1" applyAlignment="1">
      <alignment horizontal="center" vertical="center"/>
    </xf>
    <xf numFmtId="0" fontId="76" fillId="16" borderId="0" xfId="0" applyFont="1" applyFill="1"/>
    <xf numFmtId="0" fontId="74" fillId="17" borderId="0" xfId="0" applyFont="1" applyFill="1" applyAlignment="1">
      <alignment vertical="center"/>
    </xf>
    <xf numFmtId="0" fontId="27" fillId="3" borderId="361" xfId="0" applyFont="1" applyFill="1" applyBorder="1" applyAlignment="1">
      <alignment horizontal="center" vertical="center" wrapText="1"/>
    </xf>
    <xf numFmtId="0" fontId="17" fillId="0" borderId="0" xfId="0" applyFont="1" applyAlignment="1">
      <alignment horizontal="left" vertical="center" wrapText="1"/>
    </xf>
    <xf numFmtId="0" fontId="75" fillId="0" borderId="0" xfId="0" applyFont="1" applyAlignment="1">
      <alignment horizontal="center"/>
    </xf>
    <xf numFmtId="0" fontId="27" fillId="3" borderId="361" xfId="0" applyFont="1" applyFill="1" applyBorder="1" applyAlignment="1">
      <alignment vertical="center"/>
    </xf>
    <xf numFmtId="0" fontId="32" fillId="0" borderId="362" xfId="0" applyFont="1" applyBorder="1" applyAlignment="1">
      <alignment horizontal="left" vertical="center" wrapText="1"/>
    </xf>
    <xf numFmtId="0" fontId="34" fillId="0" borderId="361" xfId="0" quotePrefix="1" applyFont="1" applyBorder="1" applyAlignment="1">
      <alignment horizontal="center" vertical="center" wrapText="1"/>
    </xf>
    <xf numFmtId="20" fontId="75" fillId="0" borderId="361" xfId="0" applyNumberFormat="1" applyFont="1" applyBorder="1" applyAlignment="1">
      <alignment horizontal="center" vertical="center" wrapText="1"/>
    </xf>
    <xf numFmtId="49" fontId="32" fillId="0" borderId="361" xfId="0" applyNumberFormat="1" applyFont="1" applyBorder="1" applyAlignment="1">
      <alignment horizontal="center" vertical="center" wrapText="1"/>
    </xf>
    <xf numFmtId="0" fontId="34" fillId="0" borderId="361" xfId="0" applyFont="1" applyBorder="1" applyAlignment="1">
      <alignment horizontal="center" vertical="center" wrapText="1"/>
    </xf>
    <xf numFmtId="0" fontId="74" fillId="0" borderId="0" xfId="0" applyFont="1" applyAlignment="1">
      <alignment horizontal="left" vertical="center" wrapText="1"/>
    </xf>
    <xf numFmtId="0" fontId="75" fillId="18" borderId="0" xfId="0" applyFont="1" applyFill="1"/>
    <xf numFmtId="0" fontId="74" fillId="18" borderId="0" xfId="0" applyFont="1" applyFill="1" applyAlignment="1">
      <alignment horizontal="center" vertical="center" wrapText="1"/>
    </xf>
    <xf numFmtId="0" fontId="2" fillId="19" borderId="4" xfId="0" applyFont="1" applyFill="1" applyBorder="1" applyAlignment="1">
      <alignment vertical="center" wrapText="1"/>
    </xf>
    <xf numFmtId="0" fontId="0" fillId="20" borderId="0" xfId="0" applyFill="1"/>
    <xf numFmtId="0" fontId="1" fillId="19" borderId="1" xfId="0" applyFont="1" applyFill="1" applyBorder="1" applyAlignment="1">
      <alignment vertical="center"/>
    </xf>
    <xf numFmtId="0" fontId="75" fillId="20" borderId="0" xfId="0" applyFont="1" applyFill="1" applyAlignment="1">
      <alignment horizontal="center"/>
    </xf>
    <xf numFmtId="0" fontId="75" fillId="20" borderId="0" xfId="0" applyFont="1" applyFill="1"/>
    <xf numFmtId="0" fontId="74" fillId="20" borderId="0" xfId="0" applyFont="1" applyFill="1" applyAlignment="1">
      <alignment horizontal="center" vertical="center"/>
    </xf>
    <xf numFmtId="0" fontId="74" fillId="19" borderId="0" xfId="0" applyFont="1" applyFill="1" applyAlignment="1">
      <alignment vertical="center"/>
    </xf>
    <xf numFmtId="0" fontId="75" fillId="20" borderId="0" xfId="0" applyFont="1" applyFill="1" applyAlignment="1">
      <alignment horizontal="center" vertical="center"/>
    </xf>
    <xf numFmtId="0" fontId="76" fillId="20" borderId="0" xfId="0" applyFont="1" applyFill="1"/>
    <xf numFmtId="0" fontId="17" fillId="0" borderId="361" xfId="0" applyFont="1" applyBorder="1" applyAlignment="1">
      <alignment horizontal="center" vertical="center"/>
    </xf>
    <xf numFmtId="0" fontId="31" fillId="0" borderId="0" xfId="0" applyFont="1" applyAlignment="1">
      <alignment horizontal="center"/>
    </xf>
    <xf numFmtId="0" fontId="17" fillId="0" borderId="0" xfId="0" applyFont="1" applyAlignment="1">
      <alignment horizontal="left" vertical="center" wrapText="1"/>
    </xf>
    <xf numFmtId="3" fontId="14" fillId="0" borderId="85" xfId="0" applyNumberFormat="1" applyFont="1" applyBorder="1" applyAlignment="1">
      <alignment horizontal="center" vertical="center"/>
    </xf>
    <xf numFmtId="0" fontId="4" fillId="0" borderId="85" xfId="0" applyFont="1" applyBorder="1"/>
    <xf numFmtId="0" fontId="4" fillId="0" borderId="92" xfId="0" applyFont="1" applyBorder="1"/>
    <xf numFmtId="0" fontId="3" fillId="0" borderId="0" xfId="0" applyFont="1" applyAlignment="1">
      <alignment vertical="center"/>
    </xf>
    <xf numFmtId="0" fontId="0" fillId="0" borderId="0" xfId="0"/>
    <xf numFmtId="0" fontId="5" fillId="0" borderId="0" xfId="0" applyFont="1" applyAlignment="1">
      <alignment vertical="center"/>
    </xf>
    <xf numFmtId="0" fontId="14" fillId="0" borderId="75" xfId="0" applyFont="1" applyBorder="1" applyAlignment="1">
      <alignment horizontal="center" vertical="center"/>
    </xf>
    <xf numFmtId="0" fontId="4" fillId="0" borderId="75" xfId="0" applyFont="1" applyBorder="1"/>
    <xf numFmtId="0" fontId="4" fillId="0" borderId="90" xfId="0" applyFont="1" applyBorder="1"/>
    <xf numFmtId="3" fontId="14" fillId="0" borderId="80" xfId="0" applyNumberFormat="1" applyFont="1" applyBorder="1" applyAlignment="1">
      <alignment horizontal="center" vertical="center"/>
    </xf>
    <xf numFmtId="0" fontId="4" fillId="0" borderId="80" xfId="0" applyFont="1" applyBorder="1"/>
    <xf numFmtId="0" fontId="4" fillId="0" borderId="91" xfId="0" applyFont="1" applyBorder="1"/>
    <xf numFmtId="0" fontId="23" fillId="0" borderId="0" xfId="0" applyFont="1" applyAlignment="1">
      <alignment horizontal="center" vertical="center"/>
    </xf>
    <xf numFmtId="0" fontId="27" fillId="3" borderId="8" xfId="0" applyFont="1" applyFill="1" applyBorder="1" applyAlignment="1">
      <alignment horizontal="left" vertical="center"/>
    </xf>
    <xf numFmtId="0" fontId="4" fillId="0" borderId="9" xfId="0" applyFont="1" applyBorder="1"/>
    <xf numFmtId="0" fontId="4" fillId="0" borderId="10" xfId="0" applyFont="1" applyBorder="1"/>
    <xf numFmtId="0" fontId="28" fillId="4" borderId="13" xfId="0" applyFont="1" applyFill="1" applyBorder="1" applyAlignment="1">
      <alignment horizontal="left" vertical="center" wrapText="1"/>
    </xf>
    <xf numFmtId="0" fontId="4" fillId="0" borderId="14" xfId="0" applyFont="1" applyBorder="1"/>
    <xf numFmtId="0" fontId="4" fillId="0" borderId="15" xfId="0" applyFont="1" applyBorder="1"/>
    <xf numFmtId="0" fontId="32" fillId="5" borderId="94" xfId="0" applyFont="1" applyFill="1" applyBorder="1" applyAlignment="1">
      <alignment horizontal="left" vertical="center" wrapText="1"/>
    </xf>
    <xf numFmtId="0" fontId="4" fillId="0" borderId="95" xfId="0" applyFont="1" applyBorder="1"/>
    <xf numFmtId="0" fontId="4" fillId="0" borderId="96" xfId="0" applyFont="1" applyBorder="1"/>
    <xf numFmtId="0" fontId="27" fillId="3" borderId="99" xfId="0" applyFont="1" applyFill="1" applyBorder="1" applyAlignment="1">
      <alignment horizontal="left" vertical="center"/>
    </xf>
    <xf numFmtId="0" fontId="33" fillId="4" borderId="13" xfId="0" applyFont="1" applyFill="1" applyBorder="1" applyAlignment="1">
      <alignment wrapText="1"/>
    </xf>
    <xf numFmtId="0" fontId="28" fillId="6" borderId="34" xfId="0" applyFont="1" applyFill="1" applyBorder="1" applyAlignment="1">
      <alignment horizontal="left" vertical="center" wrapText="1"/>
    </xf>
    <xf numFmtId="0" fontId="4" fillId="0" borderId="35" xfId="0" applyFont="1" applyBorder="1"/>
    <xf numFmtId="0" fontId="4" fillId="0" borderId="36" xfId="0" applyFont="1" applyBorder="1"/>
    <xf numFmtId="0" fontId="28" fillId="6" borderId="19" xfId="0" applyFont="1" applyFill="1" applyBorder="1" applyAlignment="1">
      <alignment horizontal="left" vertical="center" wrapText="1"/>
    </xf>
    <xf numFmtId="0" fontId="4" fillId="0" borderId="38" xfId="0" applyFont="1" applyBorder="1"/>
    <xf numFmtId="0" fontId="4" fillId="0" borderId="21" xfId="0" applyFont="1" applyBorder="1"/>
    <xf numFmtId="0" fontId="28" fillId="6" borderId="26" xfId="0" applyFont="1" applyFill="1" applyBorder="1" applyAlignment="1">
      <alignment horizontal="left" vertical="center" wrapText="1"/>
    </xf>
    <xf numFmtId="0" fontId="4" fillId="0" borderId="39" xfId="0" applyFont="1" applyBorder="1"/>
    <xf numFmtId="0" fontId="4" fillId="0" borderId="27" xfId="0" applyFont="1" applyBorder="1"/>
    <xf numFmtId="0" fontId="4" fillId="0" borderId="23" xfId="0" applyFont="1" applyBorder="1"/>
    <xf numFmtId="0" fontId="4" fillId="0" borderId="40" xfId="0" applyFont="1" applyBorder="1"/>
    <xf numFmtId="0" fontId="4" fillId="0" borderId="24" xfId="0" applyFont="1" applyBorder="1"/>
    <xf numFmtId="0" fontId="28" fillId="6" borderId="43" xfId="0" applyFont="1" applyFill="1" applyBorder="1" applyAlignment="1">
      <alignment horizontal="left" vertical="center" wrapText="1"/>
    </xf>
    <xf numFmtId="0" fontId="4" fillId="0" borderId="44" xfId="0" applyFont="1" applyBorder="1"/>
    <xf numFmtId="0" fontId="4" fillId="0" borderId="45" xfId="0" applyFont="1" applyBorder="1"/>
    <xf numFmtId="0" fontId="35" fillId="3" borderId="47" xfId="0" applyFont="1" applyFill="1" applyBorder="1" applyAlignment="1">
      <alignment horizontal="center" vertical="center"/>
    </xf>
    <xf numFmtId="0" fontId="4" fillId="0" borderId="48" xfId="0" applyFont="1" applyBorder="1"/>
    <xf numFmtId="0" fontId="4" fillId="0" borderId="49" xfId="0" applyFont="1" applyBorder="1"/>
    <xf numFmtId="0" fontId="32" fillId="6" borderId="102" xfId="0" applyFont="1" applyFill="1" applyBorder="1" applyAlignment="1">
      <alignment horizontal="left" vertical="center" wrapText="1"/>
    </xf>
    <xf numFmtId="0" fontId="4" fillId="0" borderId="103" xfId="0" applyFont="1" applyBorder="1"/>
    <xf numFmtId="0" fontId="27" fillId="3" borderId="104" xfId="0" applyFont="1" applyFill="1" applyBorder="1" applyAlignment="1">
      <alignment horizontal="left" vertical="center"/>
    </xf>
    <xf numFmtId="0" fontId="4" fillId="0" borderId="105" xfId="0" applyFont="1" applyBorder="1"/>
    <xf numFmtId="0" fontId="4" fillId="0" borderId="106" xfId="0" applyFont="1" applyBorder="1"/>
    <xf numFmtId="0" fontId="27" fillId="3" borderId="16" xfId="0" applyFont="1" applyFill="1" applyBorder="1" applyAlignment="1">
      <alignment horizontal="left" vertical="center"/>
    </xf>
    <xf numFmtId="0" fontId="4" fillId="0" borderId="29" xfId="0" applyFont="1" applyBorder="1"/>
    <xf numFmtId="0" fontId="27" fillId="3" borderId="107" xfId="0" applyFont="1" applyFill="1" applyBorder="1" applyAlignment="1">
      <alignment horizontal="left" vertical="center"/>
    </xf>
    <xf numFmtId="3" fontId="31" fillId="6" borderId="37" xfId="0" applyNumberFormat="1" applyFont="1" applyFill="1" applyBorder="1" applyAlignment="1">
      <alignment horizontal="center" vertical="center"/>
    </xf>
    <xf numFmtId="0" fontId="4" fillId="0" borderId="30" xfId="0" applyFont="1" applyBorder="1"/>
    <xf numFmtId="0" fontId="4" fillId="0" borderId="46" xfId="0" applyFont="1" applyBorder="1"/>
    <xf numFmtId="0" fontId="5" fillId="5" borderId="146" xfId="0" applyFont="1" applyFill="1" applyBorder="1" applyAlignment="1">
      <alignment vertical="center"/>
    </xf>
    <xf numFmtId="0" fontId="4" fillId="0" borderId="147" xfId="0" applyFont="1" applyBorder="1"/>
    <xf numFmtId="0" fontId="5" fillId="5" borderId="155" xfId="0" applyFont="1" applyFill="1" applyBorder="1" applyAlignment="1">
      <alignment vertical="center"/>
    </xf>
    <xf numFmtId="0" fontId="4" fillId="0" borderId="156" xfId="0" applyFont="1" applyBorder="1"/>
    <xf numFmtId="0" fontId="5" fillId="5" borderId="165" xfId="0" applyFont="1" applyFill="1" applyBorder="1" applyAlignment="1">
      <alignment vertical="center"/>
    </xf>
    <xf numFmtId="0" fontId="4" fillId="0" borderId="166" xfId="0" applyFont="1" applyBorder="1"/>
    <xf numFmtId="0" fontId="5" fillId="5" borderId="172" xfId="0" applyFont="1" applyFill="1" applyBorder="1" applyAlignment="1">
      <alignment vertical="center"/>
    </xf>
    <xf numFmtId="0" fontId="4" fillId="0" borderId="173" xfId="0" applyFont="1" applyBorder="1"/>
    <xf numFmtId="0" fontId="5" fillId="5" borderId="177" xfId="0" applyFont="1" applyFill="1" applyBorder="1" applyAlignment="1">
      <alignment vertical="center"/>
    </xf>
    <xf numFmtId="0" fontId="4" fillId="0" borderId="178" xfId="0" applyFont="1" applyBorder="1"/>
    <xf numFmtId="0" fontId="5" fillId="5" borderId="187" xfId="0" applyFont="1" applyFill="1" applyBorder="1" applyAlignment="1">
      <alignment vertical="center"/>
    </xf>
    <xf numFmtId="0" fontId="4" fillId="0" borderId="188" xfId="0" applyFont="1" applyBorder="1"/>
    <xf numFmtId="0" fontId="5" fillId="5" borderId="182" xfId="0" applyFont="1" applyFill="1" applyBorder="1" applyAlignment="1">
      <alignment vertical="center" wrapText="1"/>
    </xf>
    <xf numFmtId="0" fontId="4" fillId="0" borderId="183" xfId="0" applyFont="1" applyBorder="1"/>
    <xf numFmtId="0" fontId="5" fillId="5" borderId="217" xfId="0" applyFont="1" applyFill="1" applyBorder="1" applyAlignment="1">
      <alignment vertical="center"/>
    </xf>
    <xf numFmtId="0" fontId="4" fillId="0" borderId="218" xfId="0" applyFont="1" applyBorder="1"/>
    <xf numFmtId="0" fontId="62" fillId="0" borderId="142" xfId="0" applyFont="1" applyBorder="1" applyAlignment="1">
      <alignment vertical="center"/>
    </xf>
    <xf numFmtId="0" fontId="4" fillId="0" borderId="143" xfId="0" applyFont="1" applyBorder="1"/>
    <xf numFmtId="0" fontId="5" fillId="5" borderId="242" xfId="0" applyFont="1" applyFill="1" applyBorder="1" applyAlignment="1">
      <alignment vertical="center" wrapText="1"/>
    </xf>
    <xf numFmtId="0" fontId="4" fillId="0" borderId="243" xfId="0" applyFont="1" applyBorder="1"/>
    <xf numFmtId="0" fontId="5" fillId="5" borderId="192" xfId="0" applyFont="1" applyFill="1" applyBorder="1" applyAlignment="1">
      <alignment vertical="center"/>
    </xf>
    <xf numFmtId="0" fontId="4" fillId="0" borderId="193" xfId="0" applyFont="1" applyBorder="1"/>
    <xf numFmtId="0" fontId="62" fillId="0" borderId="124" xfId="0" applyFont="1" applyBorder="1" applyAlignment="1">
      <alignment vertical="center"/>
    </xf>
    <xf numFmtId="0" fontId="4" fillId="0" borderId="125" xfId="0" applyFont="1" applyBorder="1"/>
    <xf numFmtId="0" fontId="5" fillId="5" borderId="146" xfId="0" applyFont="1" applyFill="1" applyBorder="1" applyAlignment="1">
      <alignment vertical="center" wrapText="1"/>
    </xf>
    <xf numFmtId="0" fontId="5" fillId="5" borderId="177" xfId="0" applyFont="1" applyFill="1" applyBorder="1" applyAlignment="1">
      <alignment vertical="center" wrapText="1"/>
    </xf>
    <xf numFmtId="0" fontId="5" fillId="5" borderId="160" xfId="0" applyFont="1" applyFill="1" applyBorder="1" applyAlignment="1">
      <alignment vertical="center"/>
    </xf>
    <xf numFmtId="0" fontId="4" fillId="0" borderId="161" xfId="0" applyFont="1" applyBorder="1"/>
    <xf numFmtId="0" fontId="5" fillId="5" borderId="207" xfId="0" applyFont="1" applyFill="1" applyBorder="1" applyAlignment="1">
      <alignment vertical="center"/>
    </xf>
    <xf numFmtId="0" fontId="4" fillId="0" borderId="208" xfId="0" applyFont="1" applyBorder="1"/>
    <xf numFmtId="0" fontId="5" fillId="5" borderId="222" xfId="0" applyFont="1" applyFill="1" applyBorder="1" applyAlignment="1">
      <alignment vertical="center"/>
    </xf>
    <xf numFmtId="0" fontId="4" fillId="0" borderId="223" xfId="0" applyFont="1" applyBorder="1"/>
    <xf numFmtId="0" fontId="62" fillId="0" borderId="133" xfId="0" applyFont="1" applyBorder="1" applyAlignment="1">
      <alignment vertical="center"/>
    </xf>
    <xf numFmtId="0" fontId="4" fillId="0" borderId="134" xfId="0" applyFont="1" applyBorder="1"/>
    <xf numFmtId="0" fontId="5" fillId="5" borderId="232" xfId="0" applyFont="1" applyFill="1" applyBorder="1" applyAlignment="1">
      <alignment vertical="center" wrapText="1"/>
    </xf>
    <xf numFmtId="0" fontId="4" fillId="0" borderId="233" xfId="0" applyFont="1" applyBorder="1"/>
    <xf numFmtId="0" fontId="5" fillId="5" borderId="187" xfId="0" applyFont="1" applyFill="1" applyBorder="1" applyAlignment="1">
      <alignment vertical="center" wrapText="1"/>
    </xf>
    <xf numFmtId="0" fontId="5" fillId="5" borderId="160" xfId="0" applyFont="1" applyFill="1" applyBorder="1" applyAlignment="1">
      <alignment vertical="center" wrapText="1"/>
    </xf>
    <xf numFmtId="0" fontId="62" fillId="0" borderId="136" xfId="0" applyFont="1" applyBorder="1" applyAlignment="1">
      <alignment vertical="center"/>
    </xf>
    <xf numFmtId="0" fontId="4" fillId="0" borderId="137" xfId="0" applyFont="1" applyBorder="1"/>
    <xf numFmtId="0" fontId="5" fillId="5" borderId="261" xfId="0" applyFont="1" applyFill="1" applyBorder="1" applyAlignment="1">
      <alignment vertical="center" wrapText="1"/>
    </xf>
    <xf numFmtId="0" fontId="4" fillId="0" borderId="262" xfId="0" applyFont="1" applyBorder="1"/>
    <xf numFmtId="0" fontId="5" fillId="5" borderId="212" xfId="0" applyFont="1" applyFill="1" applyBorder="1" applyAlignment="1">
      <alignment vertical="center"/>
    </xf>
    <xf numFmtId="0" fontId="4" fillId="0" borderId="213" xfId="0" applyFont="1" applyBorder="1"/>
    <xf numFmtId="0" fontId="62" fillId="0" borderId="226" xfId="0" applyFont="1" applyBorder="1" applyAlignment="1">
      <alignment vertical="center"/>
    </xf>
    <xf numFmtId="0" fontId="4" fillId="0" borderId="227" xfId="0" applyFont="1" applyBorder="1"/>
    <xf numFmtId="0" fontId="5" fillId="5" borderId="151" xfId="0" applyFont="1" applyFill="1" applyBorder="1" applyAlignment="1">
      <alignment vertical="center"/>
    </xf>
    <xf numFmtId="0" fontId="4" fillId="0" borderId="152" xfId="0" applyFont="1" applyBorder="1"/>
    <xf numFmtId="0" fontId="5" fillId="5" borderId="182" xfId="0" applyFont="1" applyFill="1" applyBorder="1" applyAlignment="1">
      <alignment vertical="center"/>
    </xf>
    <xf numFmtId="0" fontId="5" fillId="5" borderId="197" xfId="0" applyFont="1" applyFill="1" applyBorder="1" applyAlignment="1">
      <alignment vertical="center"/>
    </xf>
    <xf numFmtId="0" fontId="4" fillId="0" borderId="198" xfId="0" applyFont="1" applyBorder="1"/>
    <xf numFmtId="0" fontId="5" fillId="5" borderId="202" xfId="0" applyFont="1" applyFill="1" applyBorder="1" applyAlignment="1">
      <alignment vertical="center"/>
    </xf>
    <xf numFmtId="0" fontId="4" fillId="0" borderId="203" xfId="0" applyFont="1" applyBorder="1"/>
    <xf numFmtId="0" fontId="62" fillId="0" borderId="127" xfId="0" applyFont="1" applyBorder="1" applyAlignment="1">
      <alignment vertical="center"/>
    </xf>
    <xf numFmtId="0" fontId="4" fillId="0" borderId="128" xfId="0" applyFont="1" applyBorder="1"/>
    <xf numFmtId="0" fontId="62" fillId="0" borderId="130" xfId="0" applyFont="1" applyBorder="1" applyAlignment="1">
      <alignment vertical="center"/>
    </xf>
    <xf numFmtId="0" fontId="4" fillId="0" borderId="131" xfId="0" applyFont="1" applyBorder="1"/>
    <xf numFmtId="0" fontId="5" fillId="5" borderId="155" xfId="0" applyFont="1" applyFill="1" applyBorder="1" applyAlignment="1">
      <alignment vertical="center" wrapText="1"/>
    </xf>
    <xf numFmtId="0" fontId="5" fillId="5" borderId="151" xfId="0" applyFont="1" applyFill="1" applyBorder="1" applyAlignment="1">
      <alignment vertical="center" wrapText="1"/>
    </xf>
    <xf numFmtId="0" fontId="5" fillId="5" borderId="237" xfId="0" applyFont="1" applyFill="1" applyBorder="1" applyAlignment="1">
      <alignment vertical="center" wrapText="1"/>
    </xf>
    <xf numFmtId="0" fontId="4" fillId="0" borderId="238" xfId="0" applyFont="1" applyBorder="1"/>
    <xf numFmtId="0" fontId="5" fillId="5" borderId="287" xfId="0" applyFont="1" applyFill="1" applyBorder="1" applyAlignment="1">
      <alignment vertical="center" wrapText="1"/>
    </xf>
    <xf numFmtId="0" fontId="5" fillId="5" borderId="282" xfId="0" applyFont="1" applyFill="1" applyBorder="1" applyAlignment="1">
      <alignment vertical="center" wrapText="1"/>
    </xf>
    <xf numFmtId="0" fontId="4" fillId="0" borderId="283" xfId="0" applyFont="1" applyBorder="1"/>
    <xf numFmtId="0" fontId="5" fillId="5" borderId="290" xfId="0" applyFont="1" applyFill="1" applyBorder="1" applyAlignment="1">
      <alignment vertical="center" wrapText="1"/>
    </xf>
    <xf numFmtId="3" fontId="69" fillId="5" borderId="290" xfId="0" applyNumberFormat="1" applyFont="1" applyFill="1" applyBorder="1" applyAlignment="1">
      <alignment horizontal="center" vertical="center"/>
    </xf>
    <xf numFmtId="0" fontId="4" fillId="0" borderId="192" xfId="0" applyFont="1" applyBorder="1"/>
    <xf numFmtId="0" fontId="4" fillId="0" borderId="297" xfId="0" applyFont="1" applyBorder="1"/>
    <xf numFmtId="0" fontId="5" fillId="5" borderId="197" xfId="0" applyFont="1" applyFill="1" applyBorder="1" applyAlignment="1">
      <alignment vertical="center" wrapText="1"/>
    </xf>
    <xf numFmtId="0" fontId="5" fillId="5" borderId="292" xfId="0" applyFont="1" applyFill="1" applyBorder="1" applyAlignment="1">
      <alignment vertical="center" wrapText="1"/>
    </xf>
    <xf numFmtId="0" fontId="5" fillId="5" borderId="202" xfId="0" applyFont="1" applyFill="1" applyBorder="1" applyAlignment="1">
      <alignment vertical="center" wrapText="1"/>
    </xf>
    <xf numFmtId="3" fontId="66" fillId="5" borderId="202" xfId="0" applyNumberFormat="1" applyFont="1" applyFill="1" applyBorder="1" applyAlignment="1">
      <alignment horizontal="center" vertical="center"/>
    </xf>
    <xf numFmtId="0" fontId="4" fillId="0" borderId="302" xfId="0" applyFont="1" applyBorder="1"/>
    <xf numFmtId="0" fontId="4" fillId="0" borderId="303" xfId="0" applyFont="1" applyBorder="1"/>
    <xf numFmtId="0" fontId="5" fillId="5" borderId="165" xfId="0" applyFont="1" applyFill="1" applyBorder="1" applyAlignment="1">
      <alignment vertical="center" wrapText="1"/>
    </xf>
    <xf numFmtId="0" fontId="5" fillId="5" borderId="207" xfId="0" applyFont="1" applyFill="1" applyBorder="1" applyAlignment="1">
      <alignment vertical="center" wrapText="1"/>
    </xf>
    <xf numFmtId="3" fontId="67" fillId="5" borderId="207" xfId="0" applyNumberFormat="1" applyFont="1" applyFill="1" applyBorder="1" applyAlignment="1">
      <alignment horizontal="center" vertical="center"/>
    </xf>
    <xf numFmtId="0" fontId="4" fillId="0" borderId="305" xfId="0" applyFont="1" applyBorder="1"/>
    <xf numFmtId="0" fontId="4" fillId="0" borderId="306" xfId="0" applyFont="1" applyBorder="1"/>
    <xf numFmtId="0" fontId="5" fillId="5" borderId="300" xfId="0" applyFont="1" applyFill="1" applyBorder="1" applyAlignment="1">
      <alignment vertical="center" wrapText="1"/>
    </xf>
    <xf numFmtId="0" fontId="4" fillId="0" borderId="301" xfId="0" applyFont="1" applyBorder="1"/>
    <xf numFmtId="0" fontId="5" fillId="5" borderId="299" xfId="0" applyFont="1" applyFill="1" applyBorder="1" applyAlignment="1">
      <alignment vertical="center" wrapText="1"/>
    </xf>
    <xf numFmtId="3" fontId="65" fillId="5" borderId="202" xfId="0" applyNumberFormat="1" applyFont="1" applyFill="1" applyBorder="1" applyAlignment="1">
      <alignment horizontal="center" vertical="center"/>
    </xf>
    <xf numFmtId="0" fontId="5" fillId="5" borderId="294" xfId="0" applyFont="1" applyFill="1" applyBorder="1" applyAlignment="1">
      <alignment vertical="center" wrapText="1"/>
    </xf>
    <xf numFmtId="0" fontId="5" fillId="5" borderId="192" xfId="0" applyFont="1" applyFill="1" applyBorder="1" applyAlignment="1">
      <alignment vertical="center" wrapText="1"/>
    </xf>
    <xf numFmtId="3" fontId="70" fillId="5" borderId="290" xfId="0" applyNumberFormat="1" applyFont="1" applyFill="1" applyBorder="1" applyAlignment="1">
      <alignment horizontal="center" vertical="center"/>
    </xf>
    <xf numFmtId="0" fontId="5" fillId="5" borderId="311" xfId="0" applyFont="1" applyFill="1" applyBorder="1" applyAlignment="1">
      <alignment vertical="center" wrapText="1"/>
    </xf>
    <xf numFmtId="0" fontId="4" fillId="0" borderId="312" xfId="0" applyFont="1" applyBorder="1"/>
    <xf numFmtId="3" fontId="5" fillId="5" borderId="307" xfId="0" applyNumberFormat="1" applyFont="1" applyFill="1" applyBorder="1" applyAlignment="1">
      <alignment horizontal="center" vertical="center"/>
    </xf>
    <xf numFmtId="0" fontId="4" fillId="0" borderId="308" xfId="0" applyFont="1" applyBorder="1"/>
    <xf numFmtId="0" fontId="4" fillId="0" borderId="307" xfId="0" applyFont="1" applyBorder="1"/>
    <xf numFmtId="0" fontId="4" fillId="0" borderId="309" xfId="0" applyFont="1" applyBorder="1"/>
    <xf numFmtId="0" fontId="4" fillId="0" borderId="300" xfId="0" applyFont="1" applyBorder="1"/>
    <xf numFmtId="0" fontId="4" fillId="0" borderId="310" xfId="0" applyFont="1" applyBorder="1"/>
    <xf numFmtId="0" fontId="54" fillId="9" borderId="0" xfId="0" applyFont="1" applyFill="1" applyAlignment="1">
      <alignment vertical="center"/>
    </xf>
    <xf numFmtId="0" fontId="5" fillId="5" borderId="313" xfId="0" applyFont="1" applyFill="1" applyBorder="1" applyAlignment="1">
      <alignment horizontal="center" vertical="center"/>
    </xf>
    <xf numFmtId="0" fontId="4" fillId="0" borderId="311" xfId="0" applyFont="1" applyBorder="1"/>
    <xf numFmtId="0" fontId="4" fillId="0" borderId="314" xfId="0" applyFont="1" applyBorder="1"/>
    <xf numFmtId="0" fontId="5" fillId="5" borderId="309" xfId="0" applyFont="1" applyFill="1" applyBorder="1" applyAlignment="1">
      <alignment horizontal="center" vertical="center"/>
    </xf>
    <xf numFmtId="3" fontId="64" fillId="5" borderId="294" xfId="0" applyNumberFormat="1" applyFont="1" applyFill="1" applyBorder="1" applyAlignment="1">
      <alignment horizontal="center" vertical="center"/>
    </xf>
    <xf numFmtId="0" fontId="4" fillId="0" borderId="197" xfId="0" applyFont="1" applyBorder="1"/>
    <xf numFmtId="0" fontId="4" fillId="0" borderId="304" xfId="0" applyFont="1" applyBorder="1"/>
    <xf numFmtId="0" fontId="5" fillId="0" borderId="0" xfId="0" applyFont="1" applyAlignment="1">
      <alignment vertical="center" wrapText="1"/>
    </xf>
    <xf numFmtId="0" fontId="44" fillId="0" borderId="112" xfId="0" applyFont="1" applyBorder="1" applyAlignment="1">
      <alignment horizontal="right" vertical="center"/>
    </xf>
    <xf numFmtId="0" fontId="4" fillId="0" borderId="112" xfId="0" applyFont="1" applyBorder="1"/>
    <xf numFmtId="0" fontId="45" fillId="0" borderId="112" xfId="0" applyFont="1" applyBorder="1" applyAlignment="1">
      <alignment horizontal="right" vertical="center"/>
    </xf>
    <xf numFmtId="0" fontId="46" fillId="0" borderId="113" xfId="0" applyFont="1" applyBorder="1" applyAlignment="1">
      <alignment horizontal="right" vertical="center"/>
    </xf>
    <xf numFmtId="0" fontId="4" fillId="0" borderId="113" xfId="0" applyFont="1" applyBorder="1"/>
    <xf numFmtId="0" fontId="54" fillId="10" borderId="0" xfId="0" applyFont="1" applyFill="1" applyAlignment="1">
      <alignment vertical="center"/>
    </xf>
    <xf numFmtId="0" fontId="54" fillId="11" borderId="0" xfId="0" applyFont="1" applyFill="1" applyAlignment="1">
      <alignment vertical="center"/>
    </xf>
    <xf numFmtId="0" fontId="54" fillId="12" borderId="0" xfId="0" applyFont="1" applyFill="1" applyAlignment="1">
      <alignment vertical="center"/>
    </xf>
    <xf numFmtId="0" fontId="54" fillId="13" borderId="0" xfId="0" applyFont="1" applyFill="1" applyAlignment="1">
      <alignment vertical="center"/>
    </xf>
    <xf numFmtId="0" fontId="54" fillId="14" borderId="0" xfId="0" applyFont="1" applyFill="1" applyAlignment="1">
      <alignment vertical="center"/>
    </xf>
    <xf numFmtId="0" fontId="5" fillId="5" borderId="249" xfId="0" applyFont="1" applyFill="1" applyBorder="1" applyAlignment="1">
      <alignment vertical="center" wrapText="1"/>
    </xf>
    <xf numFmtId="0" fontId="4" fillId="0" borderId="250" xfId="0" applyFont="1" applyBorder="1"/>
    <xf numFmtId="0" fontId="5" fillId="5" borderId="256" xfId="0" applyFont="1" applyFill="1" applyBorder="1" applyAlignment="1">
      <alignment vertical="center" wrapText="1"/>
    </xf>
    <xf numFmtId="0" fontId="4" fillId="0" borderId="257" xfId="0" applyFont="1" applyBorder="1"/>
    <xf numFmtId="0" fontId="53" fillId="0" borderId="116" xfId="0" applyFont="1" applyBorder="1" applyAlignment="1">
      <alignment horizontal="right" vertical="center"/>
    </xf>
    <xf numFmtId="0" fontId="4" fillId="0" borderId="116" xfId="0" applyFont="1" applyBorder="1"/>
    <xf numFmtId="0" fontId="47" fillId="0" borderId="113" xfId="0" applyFont="1" applyBorder="1" applyAlignment="1">
      <alignment horizontal="right" vertical="center"/>
    </xf>
    <xf numFmtId="0" fontId="48" fillId="0" borderId="114" xfId="0" applyFont="1" applyBorder="1" applyAlignment="1">
      <alignment horizontal="right" vertical="center"/>
    </xf>
    <xf numFmtId="0" fontId="4" fillId="0" borderId="114" xfId="0" applyFont="1" applyBorder="1"/>
    <xf numFmtId="0" fontId="49" fillId="0" borderId="114" xfId="0" applyFont="1" applyBorder="1" applyAlignment="1">
      <alignment horizontal="right" vertical="center"/>
    </xf>
    <xf numFmtId="0" fontId="50" fillId="0" borderId="115" xfId="0" applyFont="1" applyBorder="1" applyAlignment="1">
      <alignment horizontal="right" vertical="center"/>
    </xf>
    <xf numFmtId="0" fontId="4" fillId="0" borderId="115" xfId="0" applyFont="1" applyBorder="1"/>
    <xf numFmtId="0" fontId="54" fillId="15" borderId="0" xfId="0" applyFont="1" applyFill="1" applyAlignment="1">
      <alignment vertical="center"/>
    </xf>
    <xf numFmtId="0" fontId="62" fillId="0" borderId="139" xfId="0" applyFont="1" applyBorder="1" applyAlignment="1">
      <alignment vertical="center"/>
    </xf>
    <xf numFmtId="0" fontId="4" fillId="0" borderId="140" xfId="0" applyFont="1" applyBorder="1"/>
    <xf numFmtId="0" fontId="39" fillId="0" borderId="110" xfId="0" applyFont="1" applyBorder="1" applyAlignment="1">
      <alignment horizontal="right" vertical="center"/>
    </xf>
    <xf numFmtId="0" fontId="4" fillId="0" borderId="110" xfId="0" applyFont="1" applyBorder="1"/>
    <xf numFmtId="0" fontId="41" fillId="0" borderId="110" xfId="0" applyFont="1" applyBorder="1" applyAlignment="1">
      <alignment horizontal="right" vertical="center"/>
    </xf>
    <xf numFmtId="0" fontId="42" fillId="0" borderId="111" xfId="0" applyFont="1" applyBorder="1" applyAlignment="1">
      <alignment horizontal="right" vertical="center"/>
    </xf>
    <xf numFmtId="0" fontId="4" fillId="0" borderId="111" xfId="0" applyFont="1" applyBorder="1"/>
    <xf numFmtId="0" fontId="43" fillId="0" borderId="111" xfId="0" applyFont="1" applyBorder="1" applyAlignment="1">
      <alignment horizontal="right" vertical="center"/>
    </xf>
    <xf numFmtId="0" fontId="51" fillId="0" borderId="115" xfId="0" applyFont="1" applyBorder="1" applyAlignment="1">
      <alignment horizontal="right" vertical="center"/>
    </xf>
    <xf numFmtId="0" fontId="52" fillId="0" borderId="116" xfId="0" applyFont="1" applyBorder="1" applyAlignment="1">
      <alignment horizontal="right" vertical="center"/>
    </xf>
    <xf numFmtId="0" fontId="5" fillId="5" borderId="217" xfId="0" applyFont="1" applyFill="1" applyBorder="1" applyAlignment="1">
      <alignment vertical="center" wrapText="1"/>
    </xf>
    <xf numFmtId="0" fontId="62" fillId="0" borderId="278" xfId="0" applyFont="1" applyBorder="1" applyAlignment="1">
      <alignment vertical="center"/>
    </xf>
    <xf numFmtId="0" fontId="4" fillId="0" borderId="279" xfId="0" applyFont="1" applyBorder="1"/>
    <xf numFmtId="0" fontId="5" fillId="5" borderId="267" xfId="0" applyFont="1" applyFill="1" applyBorder="1" applyAlignment="1">
      <alignment vertical="center" wrapText="1"/>
    </xf>
    <xf numFmtId="0" fontId="4" fillId="0" borderId="268" xfId="0" applyFont="1" applyBorder="1"/>
    <xf numFmtId="0" fontId="5" fillId="5" borderId="272" xfId="0" applyFont="1" applyFill="1" applyBorder="1" applyAlignment="1">
      <alignment vertical="center" wrapText="1"/>
    </xf>
    <xf numFmtId="0" fontId="4" fillId="0" borderId="273" xfId="0" applyFont="1" applyBorder="1"/>
    <xf numFmtId="0" fontId="5" fillId="5" borderId="172" xfId="0" applyFont="1" applyFill="1" applyBorder="1" applyAlignment="1">
      <alignment vertical="center" wrapText="1"/>
    </xf>
    <xf numFmtId="3" fontId="68" fillId="5" borderId="256" xfId="0" applyNumberFormat="1" applyFont="1" applyFill="1" applyBorder="1" applyAlignment="1">
      <alignment horizontal="center" vertical="center"/>
    </xf>
    <xf numFmtId="0" fontId="4" fillId="0" borderId="295" xfId="0" applyFont="1" applyBorder="1"/>
    <xf numFmtId="0" fontId="4" fillId="0" borderId="296" xfId="0" applyFont="1" applyBorder="1"/>
    <xf numFmtId="0" fontId="5" fillId="5" borderId="222" xfId="0" applyFont="1" applyFill="1" applyBorder="1" applyAlignment="1">
      <alignment vertical="center" wrapText="1"/>
    </xf>
    <xf numFmtId="0" fontId="5" fillId="5" borderId="315" xfId="0" applyFont="1" applyFill="1" applyBorder="1" applyAlignment="1">
      <alignment horizontal="center" vertical="center"/>
    </xf>
    <xf numFmtId="0" fontId="4" fillId="0" borderId="146" xfId="0" applyFont="1" applyBorder="1"/>
    <xf numFmtId="0" fontId="4" fillId="0" borderId="316" xfId="0" applyFont="1" applyBorder="1"/>
    <xf numFmtId="164" fontId="5" fillId="5" borderId="315" xfId="0" applyNumberFormat="1" applyFont="1" applyFill="1" applyBorder="1" applyAlignment="1">
      <alignment horizontal="center" vertical="center"/>
    </xf>
    <xf numFmtId="164" fontId="5" fillId="5" borderId="309" xfId="0" applyNumberFormat="1" applyFont="1" applyFill="1" applyBorder="1" applyAlignment="1">
      <alignment horizontal="center" vertical="center"/>
    </xf>
    <xf numFmtId="0" fontId="5" fillId="5" borderId="318" xfId="0" applyFont="1" applyFill="1" applyBorder="1" applyAlignment="1">
      <alignment horizontal="center" vertical="center"/>
    </xf>
    <xf numFmtId="0" fontId="4" fillId="0" borderId="320" xfId="0" applyFont="1" applyBorder="1"/>
    <xf numFmtId="0" fontId="4" fillId="0" borderId="321" xfId="0" applyFont="1" applyBorder="1"/>
    <xf numFmtId="164" fontId="5" fillId="5" borderId="299" xfId="0" applyNumberFormat="1" applyFont="1" applyFill="1" applyBorder="1" applyAlignment="1">
      <alignment horizontal="center" vertical="center"/>
    </xf>
    <xf numFmtId="0" fontId="4" fillId="0" borderId="182" xfId="0" applyFont="1" applyBorder="1"/>
    <xf numFmtId="0" fontId="4" fillId="0" borderId="322" xfId="0" applyFont="1" applyBorder="1"/>
    <xf numFmtId="164" fontId="5" fillId="5" borderId="294" xfId="0" applyNumberFormat="1" applyFont="1" applyFill="1" applyBorder="1" applyAlignment="1">
      <alignment horizontal="center" vertical="center"/>
    </xf>
    <xf numFmtId="0" fontId="5" fillId="5" borderId="299" xfId="0" applyFont="1" applyFill="1" applyBorder="1" applyAlignment="1">
      <alignment horizontal="center" vertical="center"/>
    </xf>
    <xf numFmtId="0" fontId="5" fillId="5" borderId="318" xfId="0" applyFont="1" applyFill="1" applyBorder="1" applyAlignment="1">
      <alignment vertical="center" wrapText="1"/>
    </xf>
    <xf numFmtId="0" fontId="4" fillId="0" borderId="319" xfId="0" applyFont="1" applyBorder="1"/>
    <xf numFmtId="164" fontId="5" fillId="5" borderId="187" xfId="0" applyNumberFormat="1" applyFont="1" applyFill="1" applyBorder="1" applyAlignment="1">
      <alignment horizontal="center" vertical="center"/>
    </xf>
    <xf numFmtId="0" fontId="4" fillId="0" borderId="328" xfId="0" applyFont="1" applyBorder="1"/>
    <xf numFmtId="0" fontId="4" fillId="0" borderId="329" xfId="0" applyFont="1" applyBorder="1"/>
    <xf numFmtId="164" fontId="5" fillId="5" borderId="202" xfId="0" applyNumberFormat="1" applyFont="1" applyFill="1" applyBorder="1" applyAlignment="1">
      <alignment horizontal="center" vertical="center"/>
    </xf>
    <xf numFmtId="0" fontId="5" fillId="5" borderId="187" xfId="0" applyFont="1" applyFill="1" applyBorder="1" applyAlignment="1">
      <alignment horizontal="center" vertical="center"/>
    </xf>
    <xf numFmtId="0" fontId="5" fillId="5" borderId="324" xfId="0" applyFont="1" applyFill="1" applyBorder="1" applyAlignment="1">
      <alignment vertical="center" wrapText="1"/>
    </xf>
    <xf numFmtId="0" fontId="4" fillId="0" borderId="325" xfId="0" applyFont="1" applyBorder="1"/>
    <xf numFmtId="0" fontId="5" fillId="5" borderId="324" xfId="0" applyFont="1" applyFill="1" applyBorder="1" applyAlignment="1">
      <alignment horizontal="center" vertical="center"/>
    </xf>
    <xf numFmtId="0" fontId="4" fillId="0" borderId="326" xfId="0" applyFont="1" applyBorder="1"/>
    <xf numFmtId="0" fontId="4" fillId="0" borderId="327" xfId="0" applyFont="1" applyBorder="1"/>
    <xf numFmtId="0" fontId="5" fillId="5" borderId="165" xfId="0" applyFont="1" applyFill="1" applyBorder="1" applyAlignment="1">
      <alignment horizontal="center" vertical="center"/>
    </xf>
    <xf numFmtId="0" fontId="4" fillId="0" borderId="335" xfId="0" applyFont="1" applyBorder="1"/>
    <xf numFmtId="0" fontId="4" fillId="0" borderId="336" xfId="0" applyFont="1" applyBorder="1"/>
    <xf numFmtId="164" fontId="5" fillId="5" borderId="165" xfId="0" applyNumberFormat="1" applyFont="1" applyFill="1" applyBorder="1" applyAlignment="1">
      <alignment horizontal="center" vertical="center"/>
    </xf>
    <xf numFmtId="164" fontId="5" fillId="5" borderId="207" xfId="0" applyNumberFormat="1" applyFont="1" applyFill="1" applyBorder="1" applyAlignment="1">
      <alignment horizontal="center" vertical="center"/>
    </xf>
    <xf numFmtId="0" fontId="5" fillId="5" borderId="331" xfId="0" applyFont="1" applyFill="1" applyBorder="1" applyAlignment="1">
      <alignment vertical="center" wrapText="1"/>
    </xf>
    <xf numFmtId="0" fontId="4" fillId="0" borderId="332" xfId="0" applyFont="1" applyBorder="1"/>
    <xf numFmtId="0" fontId="5" fillId="5" borderId="331" xfId="0" applyFont="1" applyFill="1" applyBorder="1" applyAlignment="1">
      <alignment horizontal="center" vertical="center"/>
    </xf>
    <xf numFmtId="0" fontId="4" fillId="0" borderId="333" xfId="0" applyFont="1" applyBorder="1"/>
    <xf numFmtId="0" fontId="4" fillId="0" borderId="334" xfId="0" applyFont="1" applyBorder="1"/>
    <xf numFmtId="0" fontId="5" fillId="5" borderId="338" xfId="0" applyFont="1" applyFill="1" applyBorder="1" applyAlignment="1">
      <alignment vertical="center" wrapText="1"/>
    </xf>
    <xf numFmtId="0" fontId="4" fillId="0" borderId="339" xfId="0" applyFont="1" applyBorder="1"/>
    <xf numFmtId="0" fontId="5" fillId="5" borderId="338" xfId="0" applyFont="1" applyFill="1" applyBorder="1" applyAlignment="1">
      <alignment horizontal="center" vertical="center"/>
    </xf>
    <xf numFmtId="0" fontId="4" fillId="0" borderId="340" xfId="0" applyFont="1" applyBorder="1"/>
    <xf numFmtId="0" fontId="4" fillId="0" borderId="341" xfId="0" applyFont="1" applyBorder="1"/>
    <xf numFmtId="0" fontId="5" fillId="5" borderId="249" xfId="0" applyFont="1" applyFill="1" applyBorder="1" applyAlignment="1">
      <alignment horizontal="center" vertical="center"/>
    </xf>
    <xf numFmtId="0" fontId="4" fillId="0" borderId="342" xfId="0" applyFont="1" applyBorder="1"/>
    <xf numFmtId="0" fontId="4" fillId="0" borderId="343" xfId="0" applyFont="1" applyBorder="1"/>
    <xf numFmtId="164" fontId="5" fillId="5" borderId="249" xfId="0" applyNumberFormat="1" applyFont="1" applyFill="1" applyBorder="1" applyAlignment="1">
      <alignment horizontal="center" vertical="center"/>
    </xf>
    <xf numFmtId="164" fontId="5" fillId="5" borderId="256" xfId="0" applyNumberFormat="1" applyFont="1" applyFill="1" applyBorder="1" applyAlignment="1">
      <alignment horizontal="center" vertical="center"/>
    </xf>
    <xf numFmtId="164" fontId="5" fillId="5" borderId="290" xfId="0" applyNumberFormat="1" applyFont="1" applyFill="1" applyBorder="1" applyAlignment="1">
      <alignment horizontal="center" vertical="center"/>
    </xf>
    <xf numFmtId="0" fontId="5" fillId="5" borderId="287" xfId="0" applyFont="1" applyFill="1" applyBorder="1" applyAlignment="1">
      <alignment horizontal="center" vertical="center"/>
    </xf>
    <xf numFmtId="0" fontId="4" fillId="0" borderId="177" xfId="0" applyFont="1" applyBorder="1"/>
    <xf numFmtId="0" fontId="4" fillId="0" borderId="360" xfId="0" applyFont="1" applyBorder="1"/>
    <xf numFmtId="164" fontId="5" fillId="5" borderId="287" xfId="0" applyNumberFormat="1" applyFont="1" applyFill="1" applyBorder="1" applyAlignment="1">
      <alignment horizontal="center" vertical="center"/>
    </xf>
    <xf numFmtId="0" fontId="5" fillId="5" borderId="345" xfId="0" applyFont="1" applyFill="1" applyBorder="1" applyAlignment="1">
      <alignment vertical="center" wrapText="1"/>
    </xf>
    <xf numFmtId="0" fontId="4" fillId="0" borderId="346" xfId="0" applyFont="1" applyBorder="1"/>
    <xf numFmtId="0" fontId="5" fillId="5" borderId="350" xfId="0" applyFont="1" applyFill="1" applyBorder="1" applyAlignment="1">
      <alignment vertical="center" wrapText="1"/>
    </xf>
    <xf numFmtId="0" fontId="4" fillId="0" borderId="351" xfId="0" applyFont="1" applyBorder="1"/>
    <xf numFmtId="0" fontId="5" fillId="5" borderId="355" xfId="0" applyFont="1" applyFill="1" applyBorder="1" applyAlignment="1">
      <alignment vertical="center" wrapText="1"/>
    </xf>
    <xf numFmtId="0" fontId="4" fillId="0" borderId="356" xfId="0" applyFont="1" applyBorder="1"/>
    <xf numFmtId="0" fontId="5" fillId="5" borderId="31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9.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657225" cy="161925"/>
    <xdr:pic>
      <xdr:nvPicPr>
        <xdr:cNvPr id="2" name="image5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16</xdr:row>
      <xdr:rowOff>0</xdr:rowOff>
    </xdr:from>
    <xdr:ext cx="276225" cy="285750"/>
    <xdr:pic>
      <xdr:nvPicPr>
        <xdr:cNvPr id="3" name="image20.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16</xdr:row>
      <xdr:rowOff>0</xdr:rowOff>
    </xdr:from>
    <xdr:ext cx="276225" cy="285750"/>
    <xdr:pic>
      <xdr:nvPicPr>
        <xdr:cNvPr id="4" name="image20.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17</xdr:row>
      <xdr:rowOff>0</xdr:rowOff>
    </xdr:from>
    <xdr:ext cx="285750" cy="285750"/>
    <xdr:pic>
      <xdr:nvPicPr>
        <xdr:cNvPr id="5" name="image29.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0</xdr:colOff>
      <xdr:row>17</xdr:row>
      <xdr:rowOff>0</xdr:rowOff>
    </xdr:from>
    <xdr:ext cx="285750" cy="285750"/>
    <xdr:pic>
      <xdr:nvPicPr>
        <xdr:cNvPr id="6" name="image29.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18</xdr:row>
      <xdr:rowOff>0</xdr:rowOff>
    </xdr:from>
    <xdr:ext cx="276225" cy="285750"/>
    <xdr:pic>
      <xdr:nvPicPr>
        <xdr:cNvPr id="7" name="image21.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0</xdr:colOff>
      <xdr:row>18</xdr:row>
      <xdr:rowOff>0</xdr:rowOff>
    </xdr:from>
    <xdr:ext cx="276225" cy="285750"/>
    <xdr:pic>
      <xdr:nvPicPr>
        <xdr:cNvPr id="8" name="image21.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19</xdr:row>
      <xdr:rowOff>0</xdr:rowOff>
    </xdr:from>
    <xdr:ext cx="276225" cy="285750"/>
    <xdr:pic>
      <xdr:nvPicPr>
        <xdr:cNvPr id="9" name="image24.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11</xdr:col>
      <xdr:colOff>0</xdr:colOff>
      <xdr:row>19</xdr:row>
      <xdr:rowOff>0</xdr:rowOff>
    </xdr:from>
    <xdr:ext cx="276225" cy="285750"/>
    <xdr:pic>
      <xdr:nvPicPr>
        <xdr:cNvPr id="10" name="image24.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0</xdr:colOff>
      <xdr:row>20</xdr:row>
      <xdr:rowOff>0</xdr:rowOff>
    </xdr:from>
    <xdr:ext cx="285750" cy="285750"/>
    <xdr:pic>
      <xdr:nvPicPr>
        <xdr:cNvPr id="11" name="image25.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0</xdr:colOff>
      <xdr:row>20</xdr:row>
      <xdr:rowOff>0</xdr:rowOff>
    </xdr:from>
    <xdr:ext cx="285750" cy="285750"/>
    <xdr:pic>
      <xdr:nvPicPr>
        <xdr:cNvPr id="12" name="image25.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0</xdr:colOff>
      <xdr:row>21</xdr:row>
      <xdr:rowOff>0</xdr:rowOff>
    </xdr:from>
    <xdr:ext cx="285750" cy="285750"/>
    <xdr:pic>
      <xdr:nvPicPr>
        <xdr:cNvPr id="13" name="image28.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11</xdr:col>
      <xdr:colOff>0</xdr:colOff>
      <xdr:row>21</xdr:row>
      <xdr:rowOff>0</xdr:rowOff>
    </xdr:from>
    <xdr:ext cx="285750" cy="285750"/>
    <xdr:pic>
      <xdr:nvPicPr>
        <xdr:cNvPr id="14" name="image28.pn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22</xdr:row>
      <xdr:rowOff>0</xdr:rowOff>
    </xdr:from>
    <xdr:ext cx="285750" cy="285750"/>
    <xdr:pic>
      <xdr:nvPicPr>
        <xdr:cNvPr id="15" name="image31.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11</xdr:col>
      <xdr:colOff>0</xdr:colOff>
      <xdr:row>22</xdr:row>
      <xdr:rowOff>0</xdr:rowOff>
    </xdr:from>
    <xdr:ext cx="285750" cy="285750"/>
    <xdr:pic>
      <xdr:nvPicPr>
        <xdr:cNvPr id="16" name="image31.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47625</xdr:colOff>
      <xdr:row>4</xdr:row>
      <xdr:rowOff>276225</xdr:rowOff>
    </xdr:from>
    <xdr:ext cx="1924050" cy="504825"/>
    <xdr:pic>
      <xdr:nvPicPr>
        <xdr:cNvPr id="2" name="image5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20</xdr:row>
      <xdr:rowOff>0</xdr:rowOff>
    </xdr:from>
    <xdr:ext cx="190500" cy="200025"/>
    <xdr:pic>
      <xdr:nvPicPr>
        <xdr:cNvPr id="3" name="image34.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21</xdr:row>
      <xdr:rowOff>0</xdr:rowOff>
    </xdr:from>
    <xdr:ext cx="190500" cy="200025"/>
    <xdr:pic>
      <xdr:nvPicPr>
        <xdr:cNvPr id="4" name="image21.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0</xdr:colOff>
      <xdr:row>22</xdr:row>
      <xdr:rowOff>0</xdr:rowOff>
    </xdr:from>
    <xdr:ext cx="190500" cy="200025"/>
    <xdr:pic>
      <xdr:nvPicPr>
        <xdr:cNvPr id="5" name="image24.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0</xdr:colOff>
      <xdr:row>23</xdr:row>
      <xdr:rowOff>0</xdr:rowOff>
    </xdr:from>
    <xdr:ext cx="200025" cy="200025"/>
    <xdr:pic>
      <xdr:nvPicPr>
        <xdr:cNvPr id="6" name="image25.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0</xdr:colOff>
      <xdr:row>24</xdr:row>
      <xdr:rowOff>0</xdr:rowOff>
    </xdr:from>
    <xdr:ext cx="200025" cy="200025"/>
    <xdr:pic>
      <xdr:nvPicPr>
        <xdr:cNvPr id="7" name="image28.pn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0</xdr:colOff>
      <xdr:row>25</xdr:row>
      <xdr:rowOff>0</xdr:rowOff>
    </xdr:from>
    <xdr:ext cx="200025" cy="200025"/>
    <xdr:pic>
      <xdr:nvPicPr>
        <xdr:cNvPr id="8" name="image31.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2</xdr:row>
      <xdr:rowOff>0</xdr:rowOff>
    </xdr:from>
    <xdr:ext cx="1533525" cy="304800"/>
    <xdr:pic>
      <xdr:nvPicPr>
        <xdr:cNvPr id="2" name="image40.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2</xdr:row>
      <xdr:rowOff>0</xdr:rowOff>
    </xdr:from>
    <xdr:ext cx="1533525" cy="304800"/>
    <xdr:pic>
      <xdr:nvPicPr>
        <xdr:cNvPr id="3" name="image42.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27</xdr:col>
      <xdr:colOff>0</xdr:colOff>
      <xdr:row>2</xdr:row>
      <xdr:rowOff>0</xdr:rowOff>
    </xdr:from>
    <xdr:ext cx="1533525" cy="266700"/>
    <xdr:pic>
      <xdr:nvPicPr>
        <xdr:cNvPr id="4" name="image50.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38</xdr:col>
      <xdr:colOff>0</xdr:colOff>
      <xdr:row>2</xdr:row>
      <xdr:rowOff>0</xdr:rowOff>
    </xdr:from>
    <xdr:ext cx="1419225" cy="342900"/>
    <xdr:pic>
      <xdr:nvPicPr>
        <xdr:cNvPr id="5" name="image45.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49</xdr:col>
      <xdr:colOff>0</xdr:colOff>
      <xdr:row>2</xdr:row>
      <xdr:rowOff>0</xdr:rowOff>
    </xdr:from>
    <xdr:ext cx="1419225" cy="314325"/>
    <xdr:pic>
      <xdr:nvPicPr>
        <xdr:cNvPr id="6" name="image47.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60</xdr:col>
      <xdr:colOff>0</xdr:colOff>
      <xdr:row>2</xdr:row>
      <xdr:rowOff>0</xdr:rowOff>
    </xdr:from>
    <xdr:ext cx="1419225" cy="295275"/>
    <xdr:pic>
      <xdr:nvPicPr>
        <xdr:cNvPr id="7" name="image37.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71</xdr:col>
      <xdr:colOff>0</xdr:colOff>
      <xdr:row>2</xdr:row>
      <xdr:rowOff>0</xdr:rowOff>
    </xdr:from>
    <xdr:ext cx="1419225" cy="390525"/>
    <xdr:pic>
      <xdr:nvPicPr>
        <xdr:cNvPr id="8" name="image36.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2</xdr:row>
      <xdr:rowOff>0</xdr:rowOff>
    </xdr:from>
    <xdr:ext cx="1533525" cy="304800"/>
    <xdr:pic>
      <xdr:nvPicPr>
        <xdr:cNvPr id="2" name="image48.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2</xdr:row>
      <xdr:rowOff>0</xdr:rowOff>
    </xdr:from>
    <xdr:ext cx="1533525" cy="304800"/>
    <xdr:pic>
      <xdr:nvPicPr>
        <xdr:cNvPr id="2" name="image4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0</xdr:colOff>
      <xdr:row>2</xdr:row>
      <xdr:rowOff>0</xdr:rowOff>
    </xdr:from>
    <xdr:ext cx="1533525" cy="266700"/>
    <xdr:pic>
      <xdr:nvPicPr>
        <xdr:cNvPr id="2" name="image43.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2</xdr:row>
      <xdr:rowOff>0</xdr:rowOff>
    </xdr:from>
    <xdr:ext cx="1419225" cy="342900"/>
    <xdr:pic>
      <xdr:nvPicPr>
        <xdr:cNvPr id="2" name="image49.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0</xdr:colOff>
      <xdr:row>2</xdr:row>
      <xdr:rowOff>0</xdr:rowOff>
    </xdr:from>
    <xdr:ext cx="1419225" cy="314325"/>
    <xdr:pic>
      <xdr:nvPicPr>
        <xdr:cNvPr id="2" name="image46.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2</xdr:row>
      <xdr:rowOff>0</xdr:rowOff>
    </xdr:from>
    <xdr:ext cx="1419225" cy="295275"/>
    <xdr:pic>
      <xdr:nvPicPr>
        <xdr:cNvPr id="2" name="image38.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4</xdr:col>
      <xdr:colOff>0</xdr:colOff>
      <xdr:row>2</xdr:row>
      <xdr:rowOff>0</xdr:rowOff>
    </xdr:from>
    <xdr:ext cx="1419225" cy="390525"/>
    <xdr:pic>
      <xdr:nvPicPr>
        <xdr:cNvPr id="2" name="image44.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filum.ai/" TargetMode="External"/><Relationship Id="rId1" Type="http://schemas.openxmlformats.org/officeDocument/2006/relationships/hyperlink" Target="https://www.filum.ai/"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11"/>
  <sheetViews>
    <sheetView showGridLines="0" tabSelected="1" zoomScaleNormal="100" workbookViewId="0">
      <selection activeCell="A8" sqref="A8:XFD8"/>
    </sheetView>
  </sheetViews>
  <sheetFormatPr defaultColWidth="12.54296875" defaultRowHeight="15.75" customHeight="1"/>
  <cols>
    <col min="1" max="1" width="7.453125" customWidth="1"/>
    <col min="2" max="2" width="7.7265625" customWidth="1"/>
    <col min="3" max="3" width="28.1796875" customWidth="1"/>
    <col min="4" max="4" width="22.1796875" style="398" customWidth="1"/>
    <col min="5" max="5" width="24.7265625" style="398" customWidth="1"/>
    <col min="6" max="6" width="20.1796875" style="398" customWidth="1"/>
    <col min="7" max="9" width="24.7265625" style="398" customWidth="1"/>
    <col min="10" max="10" width="24.1796875" customWidth="1"/>
    <col min="11" max="11" width="16.1796875" customWidth="1"/>
  </cols>
  <sheetData>
    <row r="1" spans="1:13" ht="15.5">
      <c r="A1" s="2"/>
      <c r="B1" s="2"/>
      <c r="C1" s="2"/>
      <c r="D1" s="394"/>
      <c r="E1" s="395"/>
      <c r="F1" s="396"/>
      <c r="G1" s="396"/>
      <c r="H1" s="396"/>
      <c r="I1" s="396"/>
      <c r="J1" s="421"/>
      <c r="K1" s="422"/>
      <c r="L1" s="422"/>
    </row>
    <row r="2" spans="1:13" ht="15.5">
      <c r="A2" s="1"/>
      <c r="B2" s="1"/>
      <c r="C2" s="1"/>
      <c r="D2" s="397"/>
      <c r="E2" s="397"/>
      <c r="F2" s="397"/>
      <c r="G2" s="397"/>
      <c r="H2" s="397"/>
      <c r="I2" s="397"/>
      <c r="J2" s="423"/>
      <c r="K2" s="422"/>
      <c r="L2" s="422"/>
    </row>
    <row r="3" spans="1:13" s="411" customFormat="1" ht="15.5">
      <c r="A3" s="426"/>
      <c r="B3" s="431" t="s">
        <v>299</v>
      </c>
      <c r="C3" s="431"/>
      <c r="D3" s="431"/>
      <c r="E3" s="431"/>
      <c r="F3" s="431"/>
      <c r="G3" s="431"/>
      <c r="H3" s="431"/>
      <c r="I3" s="431"/>
      <c r="J3" s="431"/>
      <c r="K3" s="431"/>
      <c r="L3" s="424"/>
    </row>
    <row r="4" spans="1:13" s="401" customFormat="1" ht="15.5">
      <c r="A4" s="427"/>
      <c r="B4" s="79" t="s">
        <v>300</v>
      </c>
      <c r="C4" s="79"/>
      <c r="D4" s="79"/>
      <c r="E4" s="79"/>
      <c r="F4" s="79"/>
      <c r="G4" s="79"/>
      <c r="H4" s="79"/>
      <c r="I4" s="79"/>
      <c r="J4" s="79"/>
      <c r="K4" s="79"/>
      <c r="L4" s="425"/>
    </row>
    <row r="5" spans="1:13" s="401" customFormat="1" ht="15.75" customHeight="1">
      <c r="A5" s="425"/>
      <c r="B5" s="432" t="s">
        <v>301</v>
      </c>
      <c r="C5" s="432"/>
      <c r="D5" s="432"/>
      <c r="E5" s="432"/>
      <c r="F5" s="432"/>
      <c r="G5" s="432"/>
      <c r="H5" s="432"/>
      <c r="I5" s="432"/>
      <c r="J5" s="432"/>
      <c r="K5" s="432"/>
      <c r="L5" s="425"/>
    </row>
    <row r="6" spans="1:13" s="401" customFormat="1" ht="15.75" customHeight="1">
      <c r="A6" s="425"/>
      <c r="B6" s="399"/>
      <c r="C6" s="399"/>
      <c r="D6" s="418"/>
      <c r="E6" s="410"/>
      <c r="F6" s="418"/>
      <c r="G6" s="400"/>
      <c r="H6" s="400"/>
      <c r="I6" s="420"/>
      <c r="J6" s="419"/>
      <c r="K6" s="419"/>
      <c r="L6" s="425"/>
    </row>
    <row r="7" spans="1:13" s="401" customFormat="1" ht="38.25" customHeight="1">
      <c r="A7" s="425"/>
      <c r="B7" s="412" t="s">
        <v>302</v>
      </c>
      <c r="C7" s="409" t="s">
        <v>303</v>
      </c>
      <c r="D7" s="409" t="s">
        <v>305</v>
      </c>
      <c r="E7" s="409" t="s">
        <v>308</v>
      </c>
      <c r="F7" s="409" t="s">
        <v>307</v>
      </c>
      <c r="G7" s="409" t="s">
        <v>309</v>
      </c>
      <c r="H7" s="409" t="s">
        <v>312</v>
      </c>
      <c r="I7" s="409" t="s">
        <v>313</v>
      </c>
      <c r="J7" s="409" t="s">
        <v>314</v>
      </c>
      <c r="K7" s="409" t="s">
        <v>315</v>
      </c>
      <c r="L7" s="425"/>
      <c r="M7" s="408"/>
    </row>
    <row r="8" spans="1:13" s="401" customFormat="1" ht="36" customHeight="1">
      <c r="A8" s="425"/>
      <c r="B8" s="430">
        <v>1</v>
      </c>
      <c r="C8" s="413" t="s">
        <v>304</v>
      </c>
      <c r="D8" s="414" t="s">
        <v>306</v>
      </c>
      <c r="E8" s="415">
        <v>0.375</v>
      </c>
      <c r="F8" s="416" t="s">
        <v>310</v>
      </c>
      <c r="G8" s="417" t="s">
        <v>311</v>
      </c>
      <c r="H8" s="416"/>
      <c r="I8" s="417"/>
      <c r="J8" s="416"/>
      <c r="K8" s="417"/>
      <c r="L8" s="425"/>
    </row>
    <row r="9" spans="1:13" s="403" customFormat="1" ht="35.25" customHeight="1">
      <c r="A9" s="428"/>
      <c r="B9" s="430"/>
      <c r="C9" s="413"/>
      <c r="D9" s="414"/>
      <c r="E9" s="415"/>
      <c r="F9" s="416"/>
      <c r="G9" s="417"/>
      <c r="H9" s="416"/>
      <c r="I9" s="417"/>
      <c r="J9" s="416"/>
      <c r="K9" s="417"/>
      <c r="L9" s="406"/>
    </row>
    <row r="10" spans="1:13" s="404" customFormat="1" ht="26.25" customHeight="1">
      <c r="A10" s="429"/>
      <c r="B10" s="430"/>
      <c r="C10" s="413"/>
      <c r="D10" s="414"/>
      <c r="E10" s="415"/>
      <c r="F10" s="416"/>
      <c r="G10" s="417"/>
      <c r="H10" s="416"/>
      <c r="I10" s="417"/>
      <c r="J10" s="416"/>
      <c r="K10" s="417"/>
      <c r="L10" s="407"/>
    </row>
    <row r="11" spans="1:13" s="401" customFormat="1" ht="42" customHeight="1">
      <c r="A11" s="425"/>
      <c r="B11" s="430"/>
      <c r="C11" s="413"/>
      <c r="D11" s="402"/>
      <c r="E11" s="415"/>
      <c r="F11" s="416"/>
      <c r="G11" s="417"/>
      <c r="H11" s="416"/>
      <c r="I11" s="417"/>
      <c r="J11" s="416"/>
      <c r="K11" s="417"/>
      <c r="L11" s="405"/>
    </row>
  </sheetData>
  <mergeCells count="2">
    <mergeCell ref="B3:K3"/>
    <mergeCell ref="B5:K5"/>
  </mergeCells>
  <phoneticPr fontId="77" type="noConversion"/>
  <printOptions horizontalCentered="1" gridLines="1"/>
  <pageMargins left="0" right="0" top="0" bottom="0" header="0" footer="0"/>
  <pageSetup paperSize="8" scale="78" fitToHeight="0" pageOrder="overThenDown" orientation="portrait" cellComments="atEnd"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outlinePr summaryBelow="0" summaryRight="0"/>
  </sheetPr>
  <dimension ref="A1:R75"/>
  <sheetViews>
    <sheetView showGridLines="0" workbookViewId="0"/>
  </sheetViews>
  <sheetFormatPr defaultColWidth="12.54296875" defaultRowHeight="15.75" customHeight="1"/>
  <cols>
    <col min="1" max="2" width="3.26953125" customWidth="1"/>
    <col min="3" max="3" width="8.54296875" customWidth="1"/>
    <col min="4" max="4" width="4.81640625" customWidth="1"/>
    <col min="5" max="5" width="38" customWidth="1"/>
    <col min="6" max="6" width="3.81640625" customWidth="1"/>
    <col min="7" max="9" width="16.453125" customWidth="1"/>
    <col min="11" max="11" width="8.54296875" customWidth="1"/>
    <col min="12" max="12" width="4.81640625" customWidth="1"/>
    <col min="13" max="13" width="38" customWidth="1"/>
    <col min="14" max="14" width="3.81640625" customWidth="1"/>
    <col min="15" max="17" width="16.453125" customWidth="1"/>
  </cols>
  <sheetData>
    <row r="1" spans="1:18" ht="18.75" customHeight="1">
      <c r="A1" s="7"/>
      <c r="B1" s="7"/>
      <c r="C1" s="7"/>
      <c r="D1" s="7"/>
      <c r="E1" s="7"/>
      <c r="F1" s="7"/>
      <c r="G1" s="7"/>
      <c r="H1" s="7"/>
      <c r="I1" s="7"/>
      <c r="J1" s="7"/>
      <c r="K1" s="7"/>
      <c r="L1" s="7"/>
      <c r="M1" s="7"/>
      <c r="N1" s="7"/>
      <c r="O1" s="7"/>
      <c r="P1" s="7"/>
      <c r="Q1" s="7"/>
      <c r="R1" s="7"/>
    </row>
    <row r="2" spans="1:18" ht="12.5">
      <c r="A2" s="4"/>
      <c r="B2" s="3"/>
      <c r="C2" s="3"/>
      <c r="D2" s="3"/>
      <c r="E2" s="3"/>
      <c r="F2" s="3"/>
      <c r="G2" s="3"/>
      <c r="H2" s="3"/>
      <c r="I2" s="3"/>
      <c r="J2" s="3"/>
      <c r="K2" s="3"/>
      <c r="L2" s="3"/>
      <c r="M2" s="3"/>
      <c r="N2" s="3"/>
      <c r="O2" s="3"/>
      <c r="P2" s="3"/>
      <c r="Q2" s="3"/>
      <c r="R2" s="3"/>
    </row>
    <row r="3" spans="1:18" ht="37.5" customHeight="1">
      <c r="A3" s="4"/>
      <c r="B3" s="3"/>
      <c r="C3" s="436"/>
      <c r="D3" s="437"/>
      <c r="E3" s="437"/>
      <c r="F3" s="3"/>
      <c r="G3" s="8"/>
      <c r="H3" s="9" t="s">
        <v>38</v>
      </c>
      <c r="I3" s="3"/>
      <c r="J3" s="3"/>
      <c r="K3" s="3"/>
      <c r="L3" s="3"/>
      <c r="M3" s="3"/>
      <c r="N3" s="3"/>
      <c r="O3" s="3"/>
      <c r="P3" s="3"/>
      <c r="Q3" s="3"/>
      <c r="R3" s="3"/>
    </row>
    <row r="4" spans="1:18" ht="19">
      <c r="A4" s="4"/>
      <c r="B4" s="3"/>
      <c r="C4" s="9" t="s">
        <v>39</v>
      </c>
      <c r="D4" s="3"/>
      <c r="E4" s="3"/>
      <c r="F4" s="3"/>
      <c r="G4" s="8"/>
      <c r="H4" s="3"/>
      <c r="I4" s="9" t="s">
        <v>40</v>
      </c>
      <c r="J4" s="3"/>
      <c r="K4" s="3"/>
      <c r="L4" s="3"/>
      <c r="M4" s="3"/>
      <c r="N4" s="3"/>
      <c r="O4" s="3"/>
      <c r="P4" s="3"/>
      <c r="Q4" s="3"/>
      <c r="R4" s="3"/>
    </row>
    <row r="5" spans="1:18" ht="12.5">
      <c r="A5" s="7"/>
      <c r="B5" s="6"/>
      <c r="C5" s="6"/>
      <c r="D5" s="6"/>
      <c r="E5" s="6"/>
      <c r="F5" s="6"/>
      <c r="G5" s="6"/>
      <c r="H5" s="6"/>
      <c r="I5" s="6"/>
      <c r="J5" s="6"/>
      <c r="K5" s="6"/>
      <c r="L5" s="6"/>
      <c r="M5" s="6"/>
      <c r="N5" s="6"/>
      <c r="O5" s="6"/>
      <c r="P5" s="6"/>
      <c r="Q5" s="6"/>
      <c r="R5" s="6"/>
    </row>
    <row r="6" spans="1:18" ht="37.5" customHeight="1">
      <c r="A6" s="7"/>
      <c r="B6" s="6"/>
      <c r="C6" s="10" t="s">
        <v>41</v>
      </c>
      <c r="D6" s="3"/>
      <c r="E6" s="11" t="s">
        <v>42</v>
      </c>
      <c r="F6" s="3"/>
      <c r="G6" s="12"/>
      <c r="H6" s="13"/>
      <c r="I6" s="13"/>
      <c r="J6" s="6"/>
      <c r="K6" s="10" t="s">
        <v>43</v>
      </c>
      <c r="L6" s="3"/>
      <c r="M6" s="11" t="s">
        <v>44</v>
      </c>
      <c r="N6" s="3"/>
      <c r="O6" s="12"/>
      <c r="P6" s="14"/>
      <c r="Q6" s="14"/>
      <c r="R6" s="15"/>
    </row>
    <row r="7" spans="1:18" ht="37.5" customHeight="1">
      <c r="A7" s="7"/>
      <c r="B7" s="6"/>
      <c r="C7" s="3"/>
      <c r="D7" s="3"/>
      <c r="E7" s="3"/>
      <c r="F7" s="3"/>
      <c r="G7" s="16"/>
      <c r="H7" s="16"/>
      <c r="I7" s="16"/>
      <c r="J7" s="6"/>
      <c r="K7" s="6"/>
      <c r="L7" s="6"/>
      <c r="M7" s="17"/>
      <c r="N7" s="18"/>
      <c r="O7" s="18"/>
      <c r="P7" s="19"/>
      <c r="Q7" s="19"/>
      <c r="R7" s="15"/>
    </row>
    <row r="8" spans="1:18" ht="22.5" customHeight="1">
      <c r="A8" s="7"/>
      <c r="B8" s="6"/>
      <c r="C8" s="3"/>
      <c r="D8" s="3"/>
      <c r="E8" s="20" t="s">
        <v>45</v>
      </c>
      <c r="F8" s="8"/>
      <c r="G8" s="21" t="s">
        <v>46</v>
      </c>
      <c r="H8" s="21" t="s">
        <v>11</v>
      </c>
      <c r="I8" s="21" t="s">
        <v>47</v>
      </c>
      <c r="J8" s="6"/>
      <c r="K8" s="6"/>
      <c r="L8" s="6"/>
      <c r="M8" s="20" t="s">
        <v>45</v>
      </c>
      <c r="N8" s="8"/>
      <c r="O8" s="22" t="s">
        <v>46</v>
      </c>
      <c r="P8" s="23" t="s">
        <v>11</v>
      </c>
      <c r="Q8" s="23" t="s">
        <v>47</v>
      </c>
      <c r="R8" s="6"/>
    </row>
    <row r="9" spans="1:18" ht="22.5" customHeight="1">
      <c r="A9" s="7"/>
      <c r="B9" s="6"/>
      <c r="C9" s="3"/>
      <c r="D9" s="3"/>
      <c r="E9" s="24"/>
      <c r="F9" s="24"/>
      <c r="G9" s="24"/>
      <c r="H9" s="24"/>
      <c r="I9" s="24"/>
      <c r="J9" s="6"/>
      <c r="K9" s="6"/>
      <c r="L9" s="6"/>
      <c r="M9" s="24"/>
      <c r="N9" s="24"/>
      <c r="O9" s="24"/>
      <c r="P9" s="24"/>
      <c r="Q9" s="24"/>
      <c r="R9" s="6"/>
    </row>
    <row r="10" spans="1:18" ht="22.5" customHeight="1">
      <c r="A10" s="7"/>
      <c r="B10" s="6"/>
      <c r="C10" s="3"/>
      <c r="D10" s="8"/>
      <c r="E10" s="25" t="s">
        <v>48</v>
      </c>
      <c r="F10" s="26"/>
      <c r="G10" s="27">
        <v>21000000</v>
      </c>
      <c r="H10" s="27">
        <v>42000000</v>
      </c>
      <c r="I10" s="28">
        <v>117600000</v>
      </c>
      <c r="J10" s="6"/>
      <c r="K10" s="6"/>
      <c r="L10" s="6"/>
      <c r="M10" s="29" t="s">
        <v>49</v>
      </c>
      <c r="N10" s="26"/>
      <c r="O10" s="27">
        <v>12000000</v>
      </c>
      <c r="P10" s="27">
        <v>24000000</v>
      </c>
      <c r="Q10" s="28">
        <v>64800000</v>
      </c>
      <c r="R10" s="6"/>
    </row>
    <row r="11" spans="1:18" ht="22.5" customHeight="1">
      <c r="A11" s="7"/>
      <c r="B11" s="6"/>
      <c r="C11" s="3"/>
      <c r="D11" s="8"/>
      <c r="E11" s="25" t="s">
        <v>50</v>
      </c>
      <c r="F11" s="26"/>
      <c r="G11" s="27">
        <v>1750000</v>
      </c>
      <c r="H11" s="27">
        <v>3500000</v>
      </c>
      <c r="I11" s="28">
        <v>9800000</v>
      </c>
      <c r="J11" s="30"/>
      <c r="K11" s="6"/>
      <c r="L11" s="6"/>
      <c r="M11" s="29" t="s">
        <v>51</v>
      </c>
      <c r="N11" s="26"/>
      <c r="O11" s="27">
        <v>1000000</v>
      </c>
      <c r="P11" s="27">
        <v>2000000</v>
      </c>
      <c r="Q11" s="28">
        <v>5400000</v>
      </c>
      <c r="R11" s="6"/>
    </row>
    <row r="12" spans="1:18" ht="22.5" customHeight="1">
      <c r="A12" s="7"/>
      <c r="B12" s="6"/>
      <c r="C12" s="3"/>
      <c r="D12" s="8"/>
      <c r="E12" s="25" t="s">
        <v>52</v>
      </c>
      <c r="F12" s="26"/>
      <c r="G12" s="31">
        <v>0.3</v>
      </c>
      <c r="H12" s="31">
        <v>0.3</v>
      </c>
      <c r="I12" s="32">
        <v>0.3</v>
      </c>
      <c r="J12" s="6"/>
      <c r="K12" s="6"/>
      <c r="L12" s="6"/>
      <c r="M12" s="29" t="s">
        <v>52</v>
      </c>
      <c r="N12" s="26"/>
      <c r="O12" s="31">
        <v>0.2</v>
      </c>
      <c r="P12" s="31">
        <v>0.2</v>
      </c>
      <c r="Q12" s="32">
        <v>0.2</v>
      </c>
      <c r="R12" s="6"/>
    </row>
    <row r="13" spans="1:18" ht="22.5" customHeight="1">
      <c r="A13" s="7"/>
      <c r="B13" s="6"/>
      <c r="C13" s="3"/>
      <c r="D13" s="8"/>
      <c r="E13" s="33" t="s">
        <v>53</v>
      </c>
      <c r="F13" s="24"/>
      <c r="G13" s="34">
        <v>2500000</v>
      </c>
      <c r="H13" s="34">
        <v>5000000</v>
      </c>
      <c r="I13" s="35">
        <v>14000000</v>
      </c>
      <c r="J13" s="6"/>
      <c r="K13" s="6"/>
      <c r="L13" s="6"/>
      <c r="M13" s="36" t="s">
        <v>53</v>
      </c>
      <c r="N13" s="24"/>
      <c r="O13" s="34">
        <v>1250000</v>
      </c>
      <c r="P13" s="34">
        <v>2500000</v>
      </c>
      <c r="Q13" s="35">
        <v>6750000</v>
      </c>
      <c r="R13" s="6"/>
    </row>
    <row r="14" spans="1:18" ht="22.5" customHeight="1">
      <c r="A14" s="7"/>
      <c r="B14" s="6"/>
      <c r="C14" s="6"/>
      <c r="D14" s="6"/>
      <c r="E14" s="6"/>
      <c r="F14" s="6"/>
      <c r="G14" s="6"/>
      <c r="H14" s="6"/>
      <c r="I14" s="6"/>
      <c r="J14" s="6"/>
      <c r="K14" s="6"/>
      <c r="L14" s="6"/>
      <c r="M14" s="6"/>
      <c r="N14" s="6"/>
      <c r="O14" s="6"/>
      <c r="P14" s="6"/>
      <c r="Q14" s="6"/>
      <c r="R14" s="6"/>
    </row>
    <row r="15" spans="1:18" ht="22.5" customHeight="1">
      <c r="A15" s="7"/>
      <c r="B15" s="6"/>
      <c r="C15" s="6"/>
      <c r="D15" s="6"/>
      <c r="E15" s="20" t="s">
        <v>54</v>
      </c>
      <c r="F15" s="8"/>
      <c r="G15" s="23" t="s">
        <v>46</v>
      </c>
      <c r="H15" s="23" t="s">
        <v>11</v>
      </c>
      <c r="I15" s="23" t="s">
        <v>47</v>
      </c>
      <c r="J15" s="6"/>
      <c r="K15" s="6"/>
      <c r="L15" s="6"/>
      <c r="M15" s="20" t="s">
        <v>54</v>
      </c>
      <c r="N15" s="8"/>
      <c r="O15" s="23" t="s">
        <v>46</v>
      </c>
      <c r="P15" s="23" t="s">
        <v>11</v>
      </c>
      <c r="Q15" s="23" t="s">
        <v>47</v>
      </c>
      <c r="R15" s="6"/>
    </row>
    <row r="16" spans="1:18" ht="22.5" customHeight="1">
      <c r="A16" s="7"/>
      <c r="B16" s="6"/>
      <c r="C16" s="6"/>
      <c r="D16" s="6"/>
      <c r="E16" s="24"/>
      <c r="F16" s="24"/>
      <c r="G16" s="24"/>
      <c r="H16" s="24"/>
      <c r="I16" s="24"/>
      <c r="J16" s="6"/>
      <c r="K16" s="6"/>
      <c r="L16" s="6"/>
      <c r="M16" s="24"/>
      <c r="N16" s="24"/>
      <c r="O16" s="24"/>
      <c r="P16" s="24"/>
      <c r="Q16" s="24"/>
      <c r="R16" s="6"/>
    </row>
    <row r="17" spans="1:18" ht="22.5" customHeight="1">
      <c r="A17" s="7"/>
      <c r="B17" s="6"/>
      <c r="C17" s="6"/>
      <c r="D17" s="37"/>
      <c r="E17" s="38" t="s">
        <v>55</v>
      </c>
      <c r="F17" s="26"/>
      <c r="G17" s="27" t="s">
        <v>46</v>
      </c>
      <c r="H17" s="27" t="s">
        <v>11</v>
      </c>
      <c r="I17" s="28" t="s">
        <v>47</v>
      </c>
      <c r="J17" s="6"/>
      <c r="K17" s="6"/>
      <c r="L17" s="37"/>
      <c r="M17" s="38" t="s">
        <v>55</v>
      </c>
      <c r="N17" s="26"/>
      <c r="O17" s="27" t="s">
        <v>46</v>
      </c>
      <c r="P17" s="27" t="s">
        <v>11</v>
      </c>
      <c r="Q17" s="28" t="s">
        <v>47</v>
      </c>
      <c r="R17" s="6"/>
    </row>
    <row r="18" spans="1:18" ht="22.5" customHeight="1">
      <c r="A18" s="7"/>
      <c r="B18" s="6"/>
      <c r="C18" s="6"/>
      <c r="D18" s="39"/>
      <c r="E18" s="38" t="s">
        <v>56</v>
      </c>
      <c r="F18" s="26"/>
      <c r="G18" s="27" t="s">
        <v>46</v>
      </c>
      <c r="H18" s="27" t="s">
        <v>11</v>
      </c>
      <c r="I18" s="28" t="s">
        <v>47</v>
      </c>
      <c r="J18" s="6"/>
      <c r="K18" s="6"/>
      <c r="L18" s="39"/>
      <c r="M18" s="38" t="s">
        <v>56</v>
      </c>
      <c r="N18" s="26"/>
      <c r="O18" s="27" t="s">
        <v>46</v>
      </c>
      <c r="P18" s="27" t="s">
        <v>11</v>
      </c>
      <c r="Q18" s="28" t="s">
        <v>47</v>
      </c>
      <c r="R18" s="6"/>
    </row>
    <row r="19" spans="1:18" ht="22.5" customHeight="1">
      <c r="A19" s="7"/>
      <c r="B19" s="6"/>
      <c r="C19" s="6"/>
      <c r="D19" s="39"/>
      <c r="E19" s="38" t="s">
        <v>57</v>
      </c>
      <c r="F19" s="26"/>
      <c r="G19" s="27" t="s">
        <v>46</v>
      </c>
      <c r="H19" s="27" t="s">
        <v>11</v>
      </c>
      <c r="I19" s="28" t="s">
        <v>47</v>
      </c>
      <c r="J19" s="6"/>
      <c r="K19" s="6"/>
      <c r="L19" s="39"/>
      <c r="M19" s="38" t="s">
        <v>57</v>
      </c>
      <c r="N19" s="26"/>
      <c r="O19" s="27" t="s">
        <v>58</v>
      </c>
      <c r="P19" s="27" t="s">
        <v>58</v>
      </c>
      <c r="Q19" s="28" t="s">
        <v>58</v>
      </c>
      <c r="R19" s="6"/>
    </row>
    <row r="20" spans="1:18" ht="22.5" customHeight="1">
      <c r="A20" s="7"/>
      <c r="B20" s="6"/>
      <c r="C20" s="6"/>
      <c r="D20" s="39"/>
      <c r="E20" s="38" t="s">
        <v>59</v>
      </c>
      <c r="F20" s="26"/>
      <c r="G20" s="27" t="s">
        <v>46</v>
      </c>
      <c r="H20" s="27" t="s">
        <v>11</v>
      </c>
      <c r="I20" s="28" t="s">
        <v>47</v>
      </c>
      <c r="J20" s="6"/>
      <c r="K20" s="6"/>
      <c r="L20" s="39"/>
      <c r="M20" s="38" t="s">
        <v>59</v>
      </c>
      <c r="N20" s="26"/>
      <c r="O20" s="27" t="s">
        <v>46</v>
      </c>
      <c r="P20" s="27" t="s">
        <v>11</v>
      </c>
      <c r="Q20" s="28" t="s">
        <v>47</v>
      </c>
      <c r="R20" s="6"/>
    </row>
    <row r="21" spans="1:18" ht="22.5" customHeight="1">
      <c r="A21" s="7"/>
      <c r="B21" s="6"/>
      <c r="C21" s="6"/>
      <c r="D21" s="39"/>
      <c r="E21" s="38" t="s">
        <v>60</v>
      </c>
      <c r="F21" s="26"/>
      <c r="G21" s="27" t="s">
        <v>46</v>
      </c>
      <c r="H21" s="27" t="s">
        <v>11</v>
      </c>
      <c r="I21" s="28" t="s">
        <v>47</v>
      </c>
      <c r="J21" s="6"/>
      <c r="K21" s="6"/>
      <c r="L21" s="39"/>
      <c r="M21" s="38" t="s">
        <v>60</v>
      </c>
      <c r="N21" s="26"/>
      <c r="O21" s="27" t="s">
        <v>46</v>
      </c>
      <c r="P21" s="27" t="s">
        <v>11</v>
      </c>
      <c r="Q21" s="28" t="s">
        <v>47</v>
      </c>
      <c r="R21" s="6"/>
    </row>
    <row r="22" spans="1:18" ht="22.5" customHeight="1">
      <c r="A22" s="7"/>
      <c r="B22" s="6"/>
      <c r="C22" s="6"/>
      <c r="D22" s="39"/>
      <c r="E22" s="38" t="s">
        <v>61</v>
      </c>
      <c r="F22" s="26"/>
      <c r="G22" s="27" t="s">
        <v>46</v>
      </c>
      <c r="H22" s="27" t="s">
        <v>11</v>
      </c>
      <c r="I22" s="28" t="s">
        <v>47</v>
      </c>
      <c r="J22" s="6"/>
      <c r="K22" s="6"/>
      <c r="L22" s="39"/>
      <c r="M22" s="38" t="s">
        <v>61</v>
      </c>
      <c r="N22" s="26"/>
      <c r="O22" s="27" t="s">
        <v>58</v>
      </c>
      <c r="P22" s="27" t="s">
        <v>58</v>
      </c>
      <c r="Q22" s="28" t="s">
        <v>58</v>
      </c>
      <c r="R22" s="6"/>
    </row>
    <row r="23" spans="1:18" ht="22.5" customHeight="1">
      <c r="A23" s="7"/>
      <c r="B23" s="6"/>
      <c r="C23" s="6"/>
      <c r="D23" s="40"/>
      <c r="E23" s="41" t="s">
        <v>62</v>
      </c>
      <c r="F23" s="24"/>
      <c r="G23" s="34" t="s">
        <v>46</v>
      </c>
      <c r="H23" s="34" t="s">
        <v>11</v>
      </c>
      <c r="I23" s="35" t="s">
        <v>47</v>
      </c>
      <c r="J23" s="6"/>
      <c r="K23" s="6"/>
      <c r="L23" s="40"/>
      <c r="M23" s="41" t="s">
        <v>62</v>
      </c>
      <c r="N23" s="24"/>
      <c r="O23" s="34" t="s">
        <v>58</v>
      </c>
      <c r="P23" s="34" t="s">
        <v>58</v>
      </c>
      <c r="Q23" s="35" t="s">
        <v>58</v>
      </c>
      <c r="R23" s="6"/>
    </row>
    <row r="24" spans="1:18" ht="22.5" customHeight="1">
      <c r="A24" s="7"/>
      <c r="B24" s="6"/>
      <c r="C24" s="438"/>
      <c r="D24" s="437"/>
      <c r="E24" s="437"/>
      <c r="F24" s="6"/>
      <c r="G24" s="6"/>
      <c r="H24" s="6"/>
      <c r="I24" s="6"/>
      <c r="J24" s="6"/>
      <c r="K24" s="438"/>
      <c r="L24" s="437"/>
      <c r="M24" s="437"/>
      <c r="N24" s="6"/>
      <c r="O24" s="6"/>
      <c r="P24" s="6"/>
      <c r="Q24" s="6"/>
      <c r="R24" s="6"/>
    </row>
    <row r="25" spans="1:18" ht="22.5" customHeight="1">
      <c r="A25" s="7"/>
      <c r="B25" s="6"/>
      <c r="C25" s="6"/>
      <c r="D25" s="6"/>
      <c r="E25" s="20" t="s">
        <v>63</v>
      </c>
      <c r="F25" s="3"/>
      <c r="G25" s="3"/>
      <c r="H25" s="3"/>
      <c r="I25" s="3"/>
      <c r="J25" s="3"/>
      <c r="K25" s="3"/>
      <c r="L25" s="3"/>
      <c r="M25" s="20" t="s">
        <v>63</v>
      </c>
      <c r="N25" s="3"/>
      <c r="O25" s="3"/>
      <c r="P25" s="3"/>
      <c r="Q25" s="3"/>
      <c r="R25" s="6"/>
    </row>
    <row r="26" spans="1:18" ht="22.5" customHeight="1">
      <c r="A26" s="7"/>
      <c r="B26" s="6"/>
      <c r="C26" s="6"/>
      <c r="D26" s="6"/>
      <c r="E26" s="3"/>
      <c r="F26" s="3"/>
      <c r="G26" s="3"/>
      <c r="H26" s="3"/>
      <c r="I26" s="3"/>
      <c r="J26" s="3"/>
      <c r="K26" s="3"/>
      <c r="L26" s="3"/>
      <c r="M26" s="3"/>
      <c r="N26" s="3"/>
      <c r="O26" s="3"/>
      <c r="P26" s="3"/>
      <c r="Q26" s="3"/>
      <c r="R26" s="6"/>
    </row>
    <row r="27" spans="1:18" ht="22.5" customHeight="1">
      <c r="A27" s="7"/>
      <c r="B27" s="6"/>
      <c r="C27" s="6"/>
      <c r="D27" s="6"/>
      <c r="E27" s="42" t="s">
        <v>64</v>
      </c>
      <c r="F27" s="43"/>
      <c r="G27" s="44">
        <v>2</v>
      </c>
      <c r="H27" s="45">
        <v>5</v>
      </c>
      <c r="I27" s="46">
        <v>10</v>
      </c>
      <c r="J27" s="3"/>
      <c r="K27" s="3"/>
      <c r="L27" s="3"/>
      <c r="M27" s="42" t="s">
        <v>64</v>
      </c>
      <c r="N27" s="43"/>
      <c r="O27" s="44">
        <v>2</v>
      </c>
      <c r="P27" s="45">
        <v>5</v>
      </c>
      <c r="Q27" s="46">
        <v>10</v>
      </c>
      <c r="R27" s="6"/>
    </row>
    <row r="28" spans="1:18" ht="22.5" customHeight="1">
      <c r="A28" s="7"/>
      <c r="B28" s="6"/>
      <c r="C28" s="6"/>
      <c r="D28" s="6"/>
      <c r="E28" s="47" t="s">
        <v>65</v>
      </c>
      <c r="F28" s="48"/>
      <c r="G28" s="49">
        <v>1000</v>
      </c>
      <c r="H28" s="50">
        <v>3000</v>
      </c>
      <c r="I28" s="51">
        <v>10000</v>
      </c>
      <c r="J28" s="3"/>
      <c r="K28" s="3"/>
      <c r="L28" s="3"/>
      <c r="M28" s="47" t="s">
        <v>65</v>
      </c>
      <c r="N28" s="48"/>
      <c r="O28" s="49">
        <v>1000</v>
      </c>
      <c r="P28" s="50">
        <v>3000</v>
      </c>
      <c r="Q28" s="51">
        <v>10000</v>
      </c>
      <c r="R28" s="6"/>
    </row>
    <row r="29" spans="1:18" ht="22.5" customHeight="1">
      <c r="A29" s="7"/>
      <c r="B29" s="6"/>
      <c r="C29" s="6"/>
      <c r="D29" s="6"/>
      <c r="E29" s="47" t="s">
        <v>66</v>
      </c>
      <c r="F29" s="48"/>
      <c r="G29" s="49">
        <v>500</v>
      </c>
      <c r="H29" s="50">
        <v>1500</v>
      </c>
      <c r="I29" s="51">
        <v>5000</v>
      </c>
      <c r="J29" s="3"/>
      <c r="K29" s="3"/>
      <c r="L29" s="3"/>
      <c r="M29" s="47" t="s">
        <v>66</v>
      </c>
      <c r="N29" s="48"/>
      <c r="O29" s="49">
        <v>500</v>
      </c>
      <c r="P29" s="50">
        <v>1500</v>
      </c>
      <c r="Q29" s="51">
        <v>5000</v>
      </c>
      <c r="R29" s="6"/>
    </row>
    <row r="30" spans="1:18" ht="22.5" customHeight="1">
      <c r="A30" s="7"/>
      <c r="B30" s="6"/>
      <c r="C30" s="6"/>
      <c r="D30" s="6"/>
      <c r="E30" s="47" t="s">
        <v>67</v>
      </c>
      <c r="F30" s="48"/>
      <c r="G30" s="49">
        <v>2500</v>
      </c>
      <c r="H30" s="50">
        <v>5000</v>
      </c>
      <c r="I30" s="51">
        <v>12500</v>
      </c>
      <c r="J30" s="3"/>
      <c r="K30" s="3"/>
      <c r="L30" s="3"/>
      <c r="M30" s="47" t="s">
        <v>68</v>
      </c>
      <c r="N30" s="48"/>
      <c r="O30" s="49">
        <v>1000</v>
      </c>
      <c r="P30" s="50">
        <v>2000</v>
      </c>
      <c r="Q30" s="51">
        <v>5000</v>
      </c>
      <c r="R30" s="6"/>
    </row>
    <row r="31" spans="1:18" ht="22.5" customHeight="1">
      <c r="A31" s="7"/>
      <c r="B31" s="6"/>
      <c r="C31" s="6"/>
      <c r="D31" s="6"/>
      <c r="E31" s="47" t="s">
        <v>68</v>
      </c>
      <c r="F31" s="48"/>
      <c r="G31" s="49">
        <v>1000</v>
      </c>
      <c r="H31" s="50">
        <v>2000</v>
      </c>
      <c r="I31" s="51">
        <v>5000</v>
      </c>
      <c r="J31" s="3"/>
      <c r="K31" s="3"/>
      <c r="L31" s="3"/>
      <c r="M31" s="47" t="s">
        <v>69</v>
      </c>
      <c r="N31" s="48"/>
      <c r="O31" s="49">
        <v>3000</v>
      </c>
      <c r="P31" s="50">
        <v>6000</v>
      </c>
      <c r="Q31" s="51">
        <v>15000</v>
      </c>
      <c r="R31" s="6"/>
    </row>
    <row r="32" spans="1:18" ht="22.5" customHeight="1">
      <c r="A32" s="7"/>
      <c r="B32" s="6"/>
      <c r="C32" s="6"/>
      <c r="D32" s="6"/>
      <c r="E32" s="47" t="s">
        <v>69</v>
      </c>
      <c r="F32" s="48"/>
      <c r="G32" s="49">
        <v>3000</v>
      </c>
      <c r="H32" s="50">
        <v>6000</v>
      </c>
      <c r="I32" s="51">
        <v>15000</v>
      </c>
      <c r="J32" s="3"/>
      <c r="K32" s="3"/>
      <c r="L32" s="3"/>
      <c r="M32" s="47" t="s">
        <v>70</v>
      </c>
      <c r="N32" s="48"/>
      <c r="O32" s="49">
        <v>2</v>
      </c>
      <c r="P32" s="50">
        <v>5</v>
      </c>
      <c r="Q32" s="51" t="s">
        <v>71</v>
      </c>
      <c r="R32" s="6"/>
    </row>
    <row r="33" spans="1:18" ht="22.5" customHeight="1">
      <c r="A33" s="7"/>
      <c r="B33" s="6"/>
      <c r="C33" s="6"/>
      <c r="D33" s="6"/>
      <c r="E33" s="47" t="s">
        <v>72</v>
      </c>
      <c r="F33" s="48"/>
      <c r="G33" s="49">
        <v>200</v>
      </c>
      <c r="H33" s="50">
        <v>400</v>
      </c>
      <c r="I33" s="51">
        <v>1000</v>
      </c>
      <c r="J33" s="3"/>
      <c r="K33" s="3"/>
      <c r="L33" s="3"/>
      <c r="M33" s="52" t="s">
        <v>73</v>
      </c>
      <c r="N33" s="53"/>
      <c r="O33" s="54">
        <v>10</v>
      </c>
      <c r="P33" s="55">
        <v>20</v>
      </c>
      <c r="Q33" s="56" t="s">
        <v>71</v>
      </c>
      <c r="R33" s="6"/>
    </row>
    <row r="34" spans="1:18" ht="22.5" customHeight="1">
      <c r="A34" s="7"/>
      <c r="B34" s="6"/>
      <c r="C34" s="6"/>
      <c r="D34" s="6"/>
      <c r="E34" s="47" t="s">
        <v>74</v>
      </c>
      <c r="F34" s="48"/>
      <c r="G34" s="49" t="s">
        <v>58</v>
      </c>
      <c r="H34" s="50">
        <v>360</v>
      </c>
      <c r="I34" s="51">
        <v>900</v>
      </c>
      <c r="J34" s="3"/>
      <c r="K34" s="3"/>
      <c r="L34" s="3"/>
      <c r="M34" s="3"/>
      <c r="N34" s="3"/>
      <c r="O34" s="57"/>
      <c r="P34" s="57"/>
      <c r="Q34" s="57"/>
      <c r="R34" s="6"/>
    </row>
    <row r="35" spans="1:18" ht="22.5" customHeight="1">
      <c r="A35" s="7"/>
      <c r="B35" s="6"/>
      <c r="C35" s="6"/>
      <c r="D35" s="6"/>
      <c r="E35" s="47" t="s">
        <v>70</v>
      </c>
      <c r="F35" s="48"/>
      <c r="G35" s="49">
        <v>2</v>
      </c>
      <c r="H35" s="50">
        <v>5</v>
      </c>
      <c r="I35" s="51" t="s">
        <v>71</v>
      </c>
      <c r="J35" s="3"/>
      <c r="K35" s="3"/>
      <c r="L35" s="3"/>
      <c r="M35" s="20" t="s">
        <v>75</v>
      </c>
      <c r="N35" s="3"/>
      <c r="O35" s="3"/>
      <c r="P35" s="3"/>
      <c r="Q35" s="3"/>
      <c r="R35" s="6"/>
    </row>
    <row r="36" spans="1:18" ht="22.5" customHeight="1">
      <c r="A36" s="7"/>
      <c r="B36" s="6"/>
      <c r="C36" s="6"/>
      <c r="D36" s="6"/>
      <c r="E36" s="47" t="s">
        <v>73</v>
      </c>
      <c r="F36" s="48"/>
      <c r="G36" s="49">
        <v>10</v>
      </c>
      <c r="H36" s="50">
        <v>20</v>
      </c>
      <c r="I36" s="51" t="s">
        <v>71</v>
      </c>
      <c r="J36" s="3"/>
      <c r="K36" s="3"/>
      <c r="L36" s="3"/>
      <c r="M36" s="24"/>
      <c r="N36" s="24"/>
      <c r="O36" s="24"/>
      <c r="P36" s="24"/>
      <c r="Q36" s="24"/>
      <c r="R36" s="6"/>
    </row>
    <row r="37" spans="1:18" ht="22.5" customHeight="1">
      <c r="A37" s="7"/>
      <c r="B37" s="6"/>
      <c r="C37" s="6"/>
      <c r="D37" s="6"/>
      <c r="E37" s="47" t="s">
        <v>76</v>
      </c>
      <c r="F37" s="48"/>
      <c r="G37" s="49">
        <v>1000</v>
      </c>
      <c r="H37" s="50">
        <v>3000</v>
      </c>
      <c r="I37" s="51">
        <v>10000</v>
      </c>
      <c r="J37" s="3"/>
      <c r="K37" s="3"/>
      <c r="L37" s="58"/>
      <c r="M37" s="29" t="s">
        <v>77</v>
      </c>
      <c r="N37" s="26"/>
      <c r="O37" s="59" t="b">
        <v>1</v>
      </c>
      <c r="P37" s="59" t="b">
        <v>1</v>
      </c>
      <c r="Q37" s="60" t="b">
        <v>1</v>
      </c>
      <c r="R37" s="6"/>
    </row>
    <row r="38" spans="1:18" ht="22.5" customHeight="1">
      <c r="A38" s="7"/>
      <c r="B38" s="6"/>
      <c r="C38" s="6"/>
      <c r="D38" s="6"/>
      <c r="E38" s="52" t="s">
        <v>78</v>
      </c>
      <c r="F38" s="53"/>
      <c r="G38" s="54">
        <v>3</v>
      </c>
      <c r="H38" s="55">
        <v>5</v>
      </c>
      <c r="I38" s="56" t="s">
        <v>71</v>
      </c>
      <c r="J38" s="3"/>
      <c r="K38" s="3"/>
      <c r="L38" s="58"/>
      <c r="M38" s="29" t="s">
        <v>79</v>
      </c>
      <c r="N38" s="26"/>
      <c r="O38" s="61" t="b">
        <v>1</v>
      </c>
      <c r="P38" s="61" t="b">
        <v>1</v>
      </c>
      <c r="Q38" s="62" t="b">
        <v>1</v>
      </c>
      <c r="R38" s="6"/>
    </row>
    <row r="39" spans="1:18" ht="22.5" customHeight="1">
      <c r="A39" s="7"/>
      <c r="B39" s="6"/>
      <c r="C39" s="6"/>
      <c r="D39" s="6"/>
      <c r="E39" s="3"/>
      <c r="F39" s="3"/>
      <c r="G39" s="57"/>
      <c r="H39" s="57"/>
      <c r="I39" s="57"/>
      <c r="J39" s="3"/>
      <c r="K39" s="3"/>
      <c r="L39" s="58"/>
      <c r="M39" s="29" t="s">
        <v>80</v>
      </c>
      <c r="N39" s="26"/>
      <c r="O39" s="61" t="b">
        <v>1</v>
      </c>
      <c r="P39" s="61" t="b">
        <v>1</v>
      </c>
      <c r="Q39" s="62" t="b">
        <v>1</v>
      </c>
      <c r="R39" s="6"/>
    </row>
    <row r="40" spans="1:18" ht="22.5" customHeight="1">
      <c r="A40" s="7"/>
      <c r="B40" s="6"/>
      <c r="C40" s="6"/>
      <c r="D40" s="6"/>
      <c r="E40" s="20" t="s">
        <v>75</v>
      </c>
      <c r="F40" s="3"/>
      <c r="G40" s="3"/>
      <c r="H40" s="3"/>
      <c r="I40" s="3"/>
      <c r="J40" s="3"/>
      <c r="K40" s="3"/>
      <c r="L40" s="58"/>
      <c r="M40" s="29" t="s">
        <v>81</v>
      </c>
      <c r="N40" s="26"/>
      <c r="O40" s="61" t="b">
        <v>1</v>
      </c>
      <c r="P40" s="61" t="b">
        <v>1</v>
      </c>
      <c r="Q40" s="62" t="b">
        <v>1</v>
      </c>
      <c r="R40" s="6"/>
    </row>
    <row r="41" spans="1:18" ht="22.5" customHeight="1">
      <c r="A41" s="7"/>
      <c r="B41" s="6"/>
      <c r="C41" s="6"/>
      <c r="D41" s="6"/>
      <c r="E41" s="24"/>
      <c r="F41" s="24"/>
      <c r="G41" s="24"/>
      <c r="H41" s="24"/>
      <c r="I41" s="24"/>
      <c r="J41" s="3"/>
      <c r="K41" s="3"/>
      <c r="L41" s="58"/>
      <c r="M41" s="29" t="s">
        <v>82</v>
      </c>
      <c r="N41" s="26"/>
      <c r="O41" s="61" t="s">
        <v>58</v>
      </c>
      <c r="P41" s="61" t="b">
        <v>1</v>
      </c>
      <c r="Q41" s="62" t="b">
        <v>1</v>
      </c>
      <c r="R41" s="6"/>
    </row>
    <row r="42" spans="1:18" ht="22.5" customHeight="1">
      <c r="A42" s="7"/>
      <c r="B42" s="6"/>
      <c r="C42" s="6"/>
      <c r="D42" s="6"/>
      <c r="E42" s="29" t="s">
        <v>77</v>
      </c>
      <c r="F42" s="26"/>
      <c r="G42" s="59" t="b">
        <v>1</v>
      </c>
      <c r="H42" s="59" t="b">
        <v>1</v>
      </c>
      <c r="I42" s="60" t="b">
        <v>1</v>
      </c>
      <c r="J42" s="3"/>
      <c r="K42" s="3"/>
      <c r="L42" s="58"/>
      <c r="M42" s="29" t="s">
        <v>83</v>
      </c>
      <c r="N42" s="26"/>
      <c r="O42" s="61" t="s">
        <v>58</v>
      </c>
      <c r="P42" s="61" t="b">
        <v>1</v>
      </c>
      <c r="Q42" s="62" t="b">
        <v>1</v>
      </c>
      <c r="R42" s="6"/>
    </row>
    <row r="43" spans="1:18" ht="22.5" customHeight="1">
      <c r="A43" s="7"/>
      <c r="B43" s="6"/>
      <c r="C43" s="6"/>
      <c r="D43" s="6"/>
      <c r="E43" s="29" t="s">
        <v>79</v>
      </c>
      <c r="F43" s="26"/>
      <c r="G43" s="61" t="b">
        <v>1</v>
      </c>
      <c r="H43" s="61" t="b">
        <v>1</v>
      </c>
      <c r="I43" s="62" t="b">
        <v>1</v>
      </c>
      <c r="J43" s="3"/>
      <c r="K43" s="3"/>
      <c r="L43" s="58"/>
      <c r="M43" s="36" t="s">
        <v>84</v>
      </c>
      <c r="N43" s="24"/>
      <c r="O43" s="63" t="s">
        <v>58</v>
      </c>
      <c r="P43" s="63" t="s">
        <v>58</v>
      </c>
      <c r="Q43" s="64" t="b">
        <v>1</v>
      </c>
      <c r="R43" s="6"/>
    </row>
    <row r="44" spans="1:18" ht="22.5" customHeight="1">
      <c r="A44" s="7"/>
      <c r="B44" s="6"/>
      <c r="C44" s="6"/>
      <c r="D44" s="6"/>
      <c r="E44" s="29" t="s">
        <v>80</v>
      </c>
      <c r="F44" s="26"/>
      <c r="G44" s="61" t="b">
        <v>1</v>
      </c>
      <c r="H44" s="61" t="b">
        <v>1</v>
      </c>
      <c r="I44" s="62" t="b">
        <v>1</v>
      </c>
      <c r="J44" s="3"/>
      <c r="K44" s="3"/>
      <c r="L44" s="3"/>
      <c r="M44" s="3"/>
      <c r="N44" s="3"/>
      <c r="O44" s="57"/>
      <c r="P44" s="57"/>
      <c r="Q44" s="57"/>
      <c r="R44" s="6"/>
    </row>
    <row r="45" spans="1:18" ht="22.5" customHeight="1">
      <c r="A45" s="7"/>
      <c r="B45" s="6"/>
      <c r="C45" s="6"/>
      <c r="D45" s="6"/>
      <c r="E45" s="29" t="s">
        <v>81</v>
      </c>
      <c r="F45" s="26"/>
      <c r="G45" s="61" t="b">
        <v>1</v>
      </c>
      <c r="H45" s="61" t="b">
        <v>1</v>
      </c>
      <c r="I45" s="62" t="b">
        <v>1</v>
      </c>
      <c r="J45" s="3"/>
      <c r="K45" s="3"/>
      <c r="L45" s="3"/>
      <c r="M45" s="20" t="s">
        <v>85</v>
      </c>
      <c r="N45" s="3"/>
      <c r="O45" s="3"/>
      <c r="P45" s="3"/>
      <c r="Q45" s="3"/>
      <c r="R45" s="6"/>
    </row>
    <row r="46" spans="1:18" ht="22.5" customHeight="1">
      <c r="A46" s="7"/>
      <c r="B46" s="6"/>
      <c r="C46" s="6"/>
      <c r="D46" s="6"/>
      <c r="E46" s="29" t="s">
        <v>82</v>
      </c>
      <c r="F46" s="26"/>
      <c r="G46" s="61" t="s">
        <v>58</v>
      </c>
      <c r="H46" s="61" t="b">
        <v>1</v>
      </c>
      <c r="I46" s="62" t="b">
        <v>1</v>
      </c>
      <c r="J46" s="3"/>
      <c r="K46" s="3"/>
      <c r="L46" s="3"/>
      <c r="M46" s="24"/>
      <c r="N46" s="24"/>
      <c r="O46" s="24"/>
      <c r="P46" s="24"/>
      <c r="Q46" s="24"/>
      <c r="R46" s="6"/>
    </row>
    <row r="47" spans="1:18" ht="22.5" customHeight="1">
      <c r="A47" s="7"/>
      <c r="B47" s="6"/>
      <c r="C47" s="6"/>
      <c r="D47" s="6"/>
      <c r="E47" s="29" t="s">
        <v>83</v>
      </c>
      <c r="F47" s="26"/>
      <c r="G47" s="61" t="s">
        <v>58</v>
      </c>
      <c r="H47" s="61" t="b">
        <v>1</v>
      </c>
      <c r="I47" s="62" t="b">
        <v>1</v>
      </c>
      <c r="J47" s="3"/>
      <c r="K47" s="3"/>
      <c r="L47" s="58"/>
      <c r="M47" s="29" t="s">
        <v>86</v>
      </c>
      <c r="N47" s="26"/>
      <c r="O47" s="59" t="b">
        <v>1</v>
      </c>
      <c r="P47" s="59" t="b">
        <v>1</v>
      </c>
      <c r="Q47" s="60" t="b">
        <v>1</v>
      </c>
      <c r="R47" s="6"/>
    </row>
    <row r="48" spans="1:18" ht="22.5" customHeight="1">
      <c r="A48" s="7"/>
      <c r="B48" s="6"/>
      <c r="C48" s="6"/>
      <c r="D48" s="6"/>
      <c r="E48" s="36" t="s">
        <v>84</v>
      </c>
      <c r="F48" s="24"/>
      <c r="G48" s="63" t="s">
        <v>58</v>
      </c>
      <c r="H48" s="63" t="s">
        <v>58</v>
      </c>
      <c r="I48" s="64" t="b">
        <v>1</v>
      </c>
      <c r="J48" s="3"/>
      <c r="K48" s="3"/>
      <c r="L48" s="58"/>
      <c r="M48" s="29" t="s">
        <v>87</v>
      </c>
      <c r="N48" s="26"/>
      <c r="O48" s="61" t="b">
        <v>1</v>
      </c>
      <c r="P48" s="61" t="b">
        <v>1</v>
      </c>
      <c r="Q48" s="62" t="b">
        <v>1</v>
      </c>
      <c r="R48" s="6"/>
    </row>
    <row r="49" spans="1:18" ht="22.5" customHeight="1">
      <c r="A49" s="7"/>
      <c r="B49" s="6"/>
      <c r="C49" s="6"/>
      <c r="D49" s="6"/>
      <c r="E49" s="3"/>
      <c r="F49" s="3"/>
      <c r="G49" s="57"/>
      <c r="H49" s="57"/>
      <c r="I49" s="57"/>
      <c r="J49" s="3"/>
      <c r="K49" s="3"/>
      <c r="L49" s="58"/>
      <c r="M49" s="29" t="s">
        <v>88</v>
      </c>
      <c r="N49" s="26"/>
      <c r="O49" s="61" t="b">
        <v>1</v>
      </c>
      <c r="P49" s="61" t="b">
        <v>1</v>
      </c>
      <c r="Q49" s="62" t="b">
        <v>1</v>
      </c>
      <c r="R49" s="6"/>
    </row>
    <row r="50" spans="1:18" ht="22.5" customHeight="1">
      <c r="A50" s="7"/>
      <c r="B50" s="6"/>
      <c r="C50" s="6"/>
      <c r="D50" s="6"/>
      <c r="E50" s="20" t="s">
        <v>85</v>
      </c>
      <c r="F50" s="3"/>
      <c r="G50" s="3"/>
      <c r="H50" s="3"/>
      <c r="I50" s="3"/>
      <c r="J50" s="3"/>
      <c r="K50" s="3"/>
      <c r="L50" s="58"/>
      <c r="M50" s="29" t="s">
        <v>89</v>
      </c>
      <c r="N50" s="26"/>
      <c r="O50" s="61" t="s">
        <v>58</v>
      </c>
      <c r="P50" s="61" t="b">
        <v>1</v>
      </c>
      <c r="Q50" s="62" t="b">
        <v>1</v>
      </c>
      <c r="R50" s="6"/>
    </row>
    <row r="51" spans="1:18" ht="22.5" customHeight="1">
      <c r="A51" s="7"/>
      <c r="B51" s="6"/>
      <c r="C51" s="6"/>
      <c r="D51" s="6"/>
      <c r="E51" s="24"/>
      <c r="F51" s="24"/>
      <c r="G51" s="24"/>
      <c r="H51" s="24"/>
      <c r="I51" s="24"/>
      <c r="J51" s="3"/>
      <c r="K51" s="3"/>
      <c r="L51" s="58"/>
      <c r="M51" s="36" t="s">
        <v>90</v>
      </c>
      <c r="N51" s="24"/>
      <c r="O51" s="63" t="s">
        <v>58</v>
      </c>
      <c r="P51" s="63" t="s">
        <v>58</v>
      </c>
      <c r="Q51" s="64" t="b">
        <v>1</v>
      </c>
      <c r="R51" s="6"/>
    </row>
    <row r="52" spans="1:18" ht="22.5" customHeight="1">
      <c r="A52" s="7"/>
      <c r="B52" s="6"/>
      <c r="C52" s="6"/>
      <c r="D52" s="6"/>
      <c r="E52" s="29" t="s">
        <v>86</v>
      </c>
      <c r="F52" s="26"/>
      <c r="G52" s="59" t="b">
        <v>1</v>
      </c>
      <c r="H52" s="59" t="b">
        <v>1</v>
      </c>
      <c r="I52" s="60" t="b">
        <v>1</v>
      </c>
      <c r="J52" s="3"/>
      <c r="K52" s="3"/>
      <c r="L52" s="3"/>
      <c r="M52" s="3"/>
      <c r="N52" s="3"/>
      <c r="O52" s="3"/>
      <c r="P52" s="3"/>
      <c r="Q52" s="3"/>
      <c r="R52" s="6"/>
    </row>
    <row r="53" spans="1:18" ht="22.5" customHeight="1">
      <c r="A53" s="7"/>
      <c r="B53" s="6"/>
      <c r="C53" s="6"/>
      <c r="D53" s="6"/>
      <c r="E53" s="29" t="s">
        <v>87</v>
      </c>
      <c r="F53" s="26"/>
      <c r="G53" s="61" t="b">
        <v>1</v>
      </c>
      <c r="H53" s="61" t="b">
        <v>1</v>
      </c>
      <c r="I53" s="62" t="b">
        <v>1</v>
      </c>
      <c r="J53" s="3"/>
      <c r="K53" s="3"/>
      <c r="L53" s="3"/>
      <c r="M53" s="20" t="s">
        <v>91</v>
      </c>
      <c r="N53" s="3"/>
      <c r="O53" s="3"/>
      <c r="P53" s="3"/>
      <c r="Q53" s="3"/>
      <c r="R53" s="6"/>
    </row>
    <row r="54" spans="1:18" ht="22.5" customHeight="1">
      <c r="A54" s="7"/>
      <c r="B54" s="6"/>
      <c r="C54" s="6"/>
      <c r="D54" s="6"/>
      <c r="E54" s="29" t="s">
        <v>88</v>
      </c>
      <c r="F54" s="26"/>
      <c r="G54" s="61" t="b">
        <v>1</v>
      </c>
      <c r="H54" s="61" t="b">
        <v>1</v>
      </c>
      <c r="I54" s="62" t="b">
        <v>1</v>
      </c>
      <c r="J54" s="3"/>
      <c r="K54" s="3"/>
      <c r="L54" s="3"/>
      <c r="M54" s="24"/>
      <c r="N54" s="24"/>
      <c r="O54" s="24"/>
      <c r="P54" s="24"/>
      <c r="Q54" s="24"/>
      <c r="R54" s="6"/>
    </row>
    <row r="55" spans="1:18" ht="22.5" customHeight="1">
      <c r="A55" s="7"/>
      <c r="B55" s="6"/>
      <c r="C55" s="6"/>
      <c r="D55" s="6"/>
      <c r="E55" s="29" t="s">
        <v>89</v>
      </c>
      <c r="F55" s="26"/>
      <c r="G55" s="61" t="s">
        <v>58</v>
      </c>
      <c r="H55" s="61" t="b">
        <v>1</v>
      </c>
      <c r="I55" s="62" t="b">
        <v>1</v>
      </c>
      <c r="J55" s="3"/>
      <c r="K55" s="3"/>
      <c r="L55" s="58"/>
      <c r="M55" s="29" t="s">
        <v>92</v>
      </c>
      <c r="N55" s="26"/>
      <c r="O55" s="27" t="s">
        <v>93</v>
      </c>
      <c r="P55" s="27" t="s">
        <v>93</v>
      </c>
      <c r="Q55" s="65" t="s">
        <v>93</v>
      </c>
      <c r="R55" s="6"/>
    </row>
    <row r="56" spans="1:18" ht="22.5" customHeight="1">
      <c r="A56" s="7"/>
      <c r="B56" s="6"/>
      <c r="C56" s="6"/>
      <c r="D56" s="6"/>
      <c r="E56" s="36" t="s">
        <v>90</v>
      </c>
      <c r="F56" s="24"/>
      <c r="G56" s="63" t="s">
        <v>58</v>
      </c>
      <c r="H56" s="63" t="s">
        <v>58</v>
      </c>
      <c r="I56" s="64" t="b">
        <v>1</v>
      </c>
      <c r="J56" s="3"/>
      <c r="K56" s="3"/>
      <c r="L56" s="58"/>
      <c r="M56" s="29" t="s">
        <v>31</v>
      </c>
      <c r="N56" s="26"/>
      <c r="O56" s="66" t="s">
        <v>93</v>
      </c>
      <c r="P56" s="66" t="s">
        <v>93</v>
      </c>
      <c r="Q56" s="67" t="s">
        <v>93</v>
      </c>
      <c r="R56" s="6"/>
    </row>
    <row r="57" spans="1:18" ht="22.5" customHeight="1">
      <c r="A57" s="7"/>
      <c r="B57" s="6"/>
      <c r="C57" s="6"/>
      <c r="D57" s="6"/>
      <c r="E57" s="3"/>
      <c r="F57" s="3"/>
      <c r="G57" s="57"/>
      <c r="H57" s="57"/>
      <c r="I57" s="57"/>
      <c r="J57" s="3"/>
      <c r="K57" s="3"/>
      <c r="L57" s="58"/>
      <c r="M57" s="29" t="s">
        <v>94</v>
      </c>
      <c r="N57" s="26"/>
      <c r="O57" s="66" t="s">
        <v>93</v>
      </c>
      <c r="P57" s="66" t="s">
        <v>93</v>
      </c>
      <c r="Q57" s="67" t="s">
        <v>93</v>
      </c>
      <c r="R57" s="6"/>
    </row>
    <row r="58" spans="1:18" ht="22.5" customHeight="1">
      <c r="A58" s="7"/>
      <c r="B58" s="6"/>
      <c r="C58" s="6"/>
      <c r="D58" s="6"/>
      <c r="E58" s="20" t="s">
        <v>91</v>
      </c>
      <c r="F58" s="3"/>
      <c r="G58" s="3"/>
      <c r="H58" s="3"/>
      <c r="I58" s="3"/>
      <c r="J58" s="3"/>
      <c r="K58" s="3"/>
      <c r="L58" s="58"/>
      <c r="M58" s="36" t="s">
        <v>95</v>
      </c>
      <c r="N58" s="24"/>
      <c r="O58" s="68" t="s">
        <v>93</v>
      </c>
      <c r="P58" s="68" t="s">
        <v>93</v>
      </c>
      <c r="Q58" s="69" t="s">
        <v>93</v>
      </c>
      <c r="R58" s="6"/>
    </row>
    <row r="59" spans="1:18" ht="22.5" customHeight="1">
      <c r="A59" s="7"/>
      <c r="B59" s="6"/>
      <c r="C59" s="6"/>
      <c r="D59" s="6"/>
      <c r="E59" s="24"/>
      <c r="F59" s="24"/>
      <c r="G59" s="24"/>
      <c r="H59" s="24"/>
      <c r="I59" s="24"/>
      <c r="J59" s="3"/>
      <c r="K59" s="3"/>
      <c r="L59" s="3"/>
      <c r="M59" s="3"/>
      <c r="N59" s="3"/>
      <c r="O59" s="3"/>
      <c r="P59" s="3"/>
      <c r="Q59" s="3"/>
      <c r="R59" s="6"/>
    </row>
    <row r="60" spans="1:18" ht="22.5" customHeight="1">
      <c r="A60" s="7"/>
      <c r="B60" s="6"/>
      <c r="C60" s="6"/>
      <c r="D60" s="6"/>
      <c r="E60" s="29" t="s">
        <v>92</v>
      </c>
      <c r="F60" s="26"/>
      <c r="G60" s="27">
        <v>5000000</v>
      </c>
      <c r="H60" s="27">
        <v>5000000</v>
      </c>
      <c r="I60" s="65" t="s">
        <v>96</v>
      </c>
      <c r="J60" s="3"/>
      <c r="K60" s="3"/>
      <c r="L60" s="3"/>
      <c r="M60" s="20" t="s">
        <v>32</v>
      </c>
      <c r="N60" s="3"/>
      <c r="O60" s="3"/>
      <c r="P60" s="3"/>
      <c r="Q60" s="3"/>
      <c r="R60" s="6"/>
    </row>
    <row r="61" spans="1:18" ht="22.5" customHeight="1">
      <c r="A61" s="7"/>
      <c r="B61" s="6"/>
      <c r="C61" s="6"/>
      <c r="D61" s="6"/>
      <c r="E61" s="29" t="s">
        <v>31</v>
      </c>
      <c r="F61" s="26"/>
      <c r="G61" s="66" t="s">
        <v>93</v>
      </c>
      <c r="H61" s="66" t="s">
        <v>93</v>
      </c>
      <c r="I61" s="67" t="s">
        <v>93</v>
      </c>
      <c r="J61" s="3"/>
      <c r="K61" s="3"/>
      <c r="L61" s="3"/>
      <c r="M61" s="3"/>
      <c r="N61" s="3"/>
      <c r="O61" s="3"/>
      <c r="P61" s="3"/>
      <c r="Q61" s="3"/>
      <c r="R61" s="6"/>
    </row>
    <row r="62" spans="1:18" ht="22.5" customHeight="1">
      <c r="A62" s="7"/>
      <c r="B62" s="6"/>
      <c r="C62" s="6"/>
      <c r="D62" s="6"/>
      <c r="E62" s="29" t="s">
        <v>94</v>
      </c>
      <c r="F62" s="26"/>
      <c r="G62" s="66" t="s">
        <v>93</v>
      </c>
      <c r="H62" s="66" t="s">
        <v>93</v>
      </c>
      <c r="I62" s="67" t="s">
        <v>93</v>
      </c>
      <c r="J62" s="3"/>
      <c r="K62" s="3"/>
      <c r="L62" s="58"/>
      <c r="M62" s="42" t="s">
        <v>97</v>
      </c>
      <c r="N62" s="43"/>
      <c r="O62" s="439" t="s">
        <v>98</v>
      </c>
      <c r="P62" s="440"/>
      <c r="Q62" s="441"/>
      <c r="R62" s="6"/>
    </row>
    <row r="63" spans="1:18" ht="22.5" customHeight="1">
      <c r="A63" s="7"/>
      <c r="B63" s="6"/>
      <c r="C63" s="6"/>
      <c r="D63" s="6"/>
      <c r="E63" s="36" t="s">
        <v>95</v>
      </c>
      <c r="F63" s="24"/>
      <c r="G63" s="68" t="s">
        <v>93</v>
      </c>
      <c r="H63" s="68" t="s">
        <v>93</v>
      </c>
      <c r="I63" s="69" t="s">
        <v>93</v>
      </c>
      <c r="J63" s="3"/>
      <c r="K63" s="3"/>
      <c r="L63" s="58"/>
      <c r="M63" s="47" t="s">
        <v>99</v>
      </c>
      <c r="N63" s="48"/>
      <c r="O63" s="442" t="s">
        <v>100</v>
      </c>
      <c r="P63" s="443"/>
      <c r="Q63" s="444"/>
      <c r="R63" s="6"/>
    </row>
    <row r="64" spans="1:18" ht="22.5" customHeight="1">
      <c r="A64" s="7"/>
      <c r="B64" s="6"/>
      <c r="C64" s="6"/>
      <c r="D64" s="6"/>
      <c r="E64" s="3"/>
      <c r="F64" s="3"/>
      <c r="G64" s="57"/>
      <c r="H64" s="57"/>
      <c r="I64" s="57"/>
      <c r="J64" s="3"/>
      <c r="K64" s="3"/>
      <c r="L64" s="58"/>
      <c r="M64" s="47" t="s">
        <v>101</v>
      </c>
      <c r="N64" s="48"/>
      <c r="O64" s="442" t="s">
        <v>100</v>
      </c>
      <c r="P64" s="443"/>
      <c r="Q64" s="444"/>
      <c r="R64" s="6"/>
    </row>
    <row r="65" spans="1:18" ht="22.5" customHeight="1">
      <c r="A65" s="7"/>
      <c r="B65" s="6"/>
      <c r="C65" s="6"/>
      <c r="D65" s="6"/>
      <c r="E65" s="20" t="s">
        <v>32</v>
      </c>
      <c r="F65" s="3"/>
      <c r="G65" s="3"/>
      <c r="H65" s="3"/>
      <c r="I65" s="3"/>
      <c r="J65" s="3"/>
      <c r="K65" s="3"/>
      <c r="L65" s="58"/>
      <c r="M65" s="47" t="s">
        <v>102</v>
      </c>
      <c r="N65" s="48"/>
      <c r="O65" s="442" t="s">
        <v>100</v>
      </c>
      <c r="P65" s="443"/>
      <c r="Q65" s="444"/>
      <c r="R65" s="6"/>
    </row>
    <row r="66" spans="1:18" ht="22.5" customHeight="1">
      <c r="A66" s="7"/>
      <c r="B66" s="6"/>
      <c r="C66" s="6"/>
      <c r="D66" s="6"/>
      <c r="E66" s="3"/>
      <c r="F66" s="3"/>
      <c r="G66" s="3"/>
      <c r="H66" s="3"/>
      <c r="I66" s="3"/>
      <c r="J66" s="3"/>
      <c r="K66" s="3"/>
      <c r="L66" s="58"/>
      <c r="M66" s="47" t="s">
        <v>103</v>
      </c>
      <c r="N66" s="48"/>
      <c r="O66" s="442" t="s">
        <v>100</v>
      </c>
      <c r="P66" s="443"/>
      <c r="Q66" s="444"/>
      <c r="R66" s="6"/>
    </row>
    <row r="67" spans="1:18" ht="22.5" customHeight="1">
      <c r="A67" s="7"/>
      <c r="B67" s="6"/>
      <c r="C67" s="6"/>
      <c r="D67" s="6"/>
      <c r="E67" s="42" t="s">
        <v>97</v>
      </c>
      <c r="F67" s="43"/>
      <c r="G67" s="439" t="s">
        <v>98</v>
      </c>
      <c r="H67" s="440"/>
      <c r="I67" s="441"/>
      <c r="J67" s="3"/>
      <c r="K67" s="3"/>
      <c r="L67" s="58"/>
      <c r="M67" s="52" t="s">
        <v>104</v>
      </c>
      <c r="N67" s="53"/>
      <c r="O67" s="433" t="s">
        <v>100</v>
      </c>
      <c r="P67" s="434"/>
      <c r="Q67" s="435"/>
      <c r="R67" s="6"/>
    </row>
    <row r="68" spans="1:18" ht="22.5" customHeight="1">
      <c r="A68" s="7"/>
      <c r="B68" s="6"/>
      <c r="C68" s="6"/>
      <c r="D68" s="6"/>
      <c r="E68" s="47" t="s">
        <v>99</v>
      </c>
      <c r="F68" s="48"/>
      <c r="G68" s="442" t="s">
        <v>100</v>
      </c>
      <c r="H68" s="443"/>
      <c r="I68" s="444"/>
      <c r="J68" s="3"/>
      <c r="K68" s="3"/>
      <c r="L68" s="3"/>
      <c r="M68" s="3"/>
      <c r="N68" s="3"/>
      <c r="O68" s="3"/>
      <c r="P68" s="3"/>
      <c r="Q68" s="3"/>
      <c r="R68" s="6"/>
    </row>
    <row r="69" spans="1:18" ht="22.5" customHeight="1">
      <c r="A69" s="7"/>
      <c r="B69" s="6"/>
      <c r="C69" s="6"/>
      <c r="D69" s="6"/>
      <c r="E69" s="47" t="s">
        <v>101</v>
      </c>
      <c r="F69" s="48"/>
      <c r="G69" s="442" t="s">
        <v>100</v>
      </c>
      <c r="H69" s="443"/>
      <c r="I69" s="444"/>
      <c r="J69" s="3"/>
      <c r="K69" s="3"/>
      <c r="L69" s="3"/>
      <c r="M69" s="3"/>
      <c r="N69" s="3"/>
      <c r="O69" s="57"/>
      <c r="P69" s="57"/>
      <c r="Q69" s="57"/>
      <c r="R69" s="6"/>
    </row>
    <row r="70" spans="1:18" ht="22.5" customHeight="1">
      <c r="A70" s="7"/>
      <c r="B70" s="6"/>
      <c r="C70" s="6"/>
      <c r="D70" s="6"/>
      <c r="E70" s="52"/>
      <c r="F70" s="53"/>
      <c r="G70" s="433"/>
      <c r="H70" s="434"/>
      <c r="I70" s="435"/>
      <c r="J70" s="3"/>
      <c r="K70" s="3"/>
      <c r="L70" s="3"/>
      <c r="M70" s="3"/>
      <c r="N70" s="3"/>
      <c r="O70" s="57"/>
      <c r="P70" s="57"/>
      <c r="Q70" s="57"/>
      <c r="R70" s="6"/>
    </row>
    <row r="71" spans="1:18" ht="22.5" customHeight="1">
      <c r="A71" s="7"/>
      <c r="B71" s="6"/>
      <c r="C71" s="6"/>
      <c r="D71" s="6"/>
      <c r="E71" s="70"/>
      <c r="F71" s="3"/>
      <c r="G71" s="71"/>
      <c r="H71" s="71"/>
      <c r="I71" s="71"/>
      <c r="J71" s="3"/>
      <c r="K71" s="3"/>
      <c r="L71" s="3"/>
      <c r="M71" s="3"/>
      <c r="N71" s="3"/>
      <c r="O71" s="57"/>
      <c r="P71" s="57"/>
      <c r="Q71" s="57"/>
      <c r="R71" s="6"/>
    </row>
    <row r="72" spans="1:18" ht="22.5" customHeight="1">
      <c r="A72" s="7"/>
      <c r="B72" s="6"/>
      <c r="C72" s="6"/>
      <c r="D72" s="6"/>
      <c r="E72" s="70"/>
      <c r="F72" s="3"/>
      <c r="G72" s="71"/>
      <c r="H72" s="71"/>
      <c r="I72" s="71"/>
      <c r="J72" s="3"/>
      <c r="K72" s="3"/>
      <c r="L72" s="3"/>
      <c r="M72" s="3"/>
      <c r="N72" s="3"/>
      <c r="O72" s="57"/>
      <c r="P72" s="57"/>
      <c r="Q72" s="57"/>
      <c r="R72" s="6"/>
    </row>
    <row r="73" spans="1:18" ht="15.75" customHeight="1">
      <c r="A73" s="7"/>
      <c r="B73" s="6"/>
      <c r="C73" s="18"/>
      <c r="D73" s="18"/>
      <c r="E73" s="18"/>
      <c r="F73" s="18"/>
      <c r="G73" s="18"/>
      <c r="H73" s="18"/>
      <c r="I73" s="18"/>
      <c r="J73" s="6"/>
      <c r="K73" s="18"/>
      <c r="L73" s="18"/>
      <c r="M73" s="18"/>
      <c r="N73" s="18"/>
      <c r="O73" s="18"/>
      <c r="P73" s="18"/>
      <c r="Q73" s="18"/>
      <c r="R73" s="6"/>
    </row>
    <row r="74" spans="1:18" ht="12.5">
      <c r="A74" s="7"/>
      <c r="B74" s="6"/>
      <c r="C74" s="6"/>
      <c r="D74" s="6"/>
      <c r="E74" s="6"/>
      <c r="F74" s="6"/>
      <c r="G74" s="6"/>
      <c r="H74" s="6"/>
      <c r="I74" s="6"/>
      <c r="J74" s="6"/>
      <c r="K74" s="6"/>
      <c r="L74" s="6"/>
      <c r="M74" s="6"/>
      <c r="N74" s="6"/>
      <c r="O74" s="6"/>
      <c r="P74" s="6"/>
      <c r="Q74" s="6"/>
      <c r="R74" s="6"/>
    </row>
    <row r="75" spans="1:18" ht="18.75" customHeight="1">
      <c r="A75" s="7"/>
      <c r="B75" s="7"/>
      <c r="C75" s="7"/>
      <c r="D75" s="7"/>
      <c r="E75" s="7"/>
      <c r="F75" s="7"/>
      <c r="G75" s="7"/>
      <c r="H75" s="7"/>
      <c r="I75" s="7"/>
      <c r="J75" s="7"/>
      <c r="K75" s="7"/>
      <c r="L75" s="7"/>
      <c r="M75" s="7"/>
      <c r="N75" s="7"/>
      <c r="O75" s="7"/>
      <c r="P75" s="7"/>
      <c r="Q75" s="7"/>
      <c r="R75" s="7"/>
    </row>
  </sheetData>
  <mergeCells count="13">
    <mergeCell ref="G70:I70"/>
    <mergeCell ref="C3:E3"/>
    <mergeCell ref="C24:E24"/>
    <mergeCell ref="K24:M24"/>
    <mergeCell ref="O62:Q62"/>
    <mergeCell ref="O63:Q63"/>
    <mergeCell ref="O64:Q64"/>
    <mergeCell ref="O65:Q65"/>
    <mergeCell ref="O66:Q66"/>
    <mergeCell ref="G67:I67"/>
    <mergeCell ref="O67:Q67"/>
    <mergeCell ref="G68:I68"/>
    <mergeCell ref="G69:I6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N52"/>
  <sheetViews>
    <sheetView showGridLines="0" workbookViewId="0"/>
  </sheetViews>
  <sheetFormatPr defaultColWidth="12.54296875" defaultRowHeight="15.75" customHeight="1" outlineLevelRow="1"/>
  <cols>
    <col min="1" max="1" width="4" customWidth="1"/>
    <col min="2" max="2" width="8.1796875" customWidth="1"/>
    <col min="3" max="3" width="2.54296875" customWidth="1"/>
    <col min="4" max="4" width="2.26953125" customWidth="1"/>
    <col min="5" max="5" width="2.54296875" customWidth="1"/>
    <col min="6" max="6" width="20.54296875" customWidth="1"/>
    <col min="7" max="7" width="11.1796875" customWidth="1"/>
    <col min="8" max="8" width="58.81640625" customWidth="1"/>
    <col min="9" max="10" width="15.1796875" customWidth="1"/>
    <col min="11" max="12" width="16" customWidth="1"/>
    <col min="13" max="13" width="8.1796875" customWidth="1"/>
    <col min="14" max="14" width="3.81640625" customWidth="1"/>
  </cols>
  <sheetData>
    <row r="1" spans="1:14" ht="15.5">
      <c r="A1" s="72"/>
      <c r="B1" s="73"/>
      <c r="C1" s="74"/>
      <c r="D1" s="74"/>
      <c r="E1" s="74"/>
      <c r="F1" s="74"/>
      <c r="G1" s="75"/>
      <c r="H1" s="74"/>
      <c r="I1" s="74"/>
      <c r="J1" s="76"/>
      <c r="K1" s="73"/>
      <c r="L1" s="73"/>
      <c r="M1" s="73"/>
      <c r="N1" s="77"/>
    </row>
    <row r="2" spans="1:14" ht="15.5">
      <c r="A2" s="72"/>
      <c r="B2" s="72"/>
      <c r="C2" s="72"/>
      <c r="D2" s="72"/>
      <c r="E2" s="72"/>
      <c r="F2" s="72"/>
      <c r="G2" s="72"/>
      <c r="H2" s="72"/>
      <c r="I2" s="72"/>
      <c r="J2" s="72"/>
      <c r="K2" s="72"/>
      <c r="L2" s="72"/>
      <c r="M2" s="72"/>
      <c r="N2" s="72"/>
    </row>
    <row r="3" spans="1:14" ht="8.25" customHeight="1">
      <c r="A3" s="78"/>
      <c r="B3" s="79"/>
      <c r="C3" s="79"/>
      <c r="D3" s="79"/>
      <c r="E3" s="79"/>
      <c r="F3" s="79"/>
      <c r="G3" s="80"/>
      <c r="H3" s="79"/>
      <c r="I3" s="79"/>
      <c r="J3" s="79"/>
      <c r="K3" s="79"/>
      <c r="L3" s="79"/>
      <c r="M3" s="79"/>
      <c r="N3" s="78"/>
    </row>
    <row r="4" spans="1:14" ht="19">
      <c r="A4" s="78"/>
      <c r="B4" s="79"/>
      <c r="C4" s="79"/>
      <c r="D4" s="79"/>
      <c r="E4" s="79"/>
      <c r="F4" s="79"/>
      <c r="G4" s="81"/>
      <c r="H4" s="79"/>
      <c r="I4" s="79"/>
      <c r="J4" s="79"/>
      <c r="K4" s="79"/>
      <c r="L4" s="79"/>
      <c r="M4" s="79"/>
      <c r="N4" s="78"/>
    </row>
    <row r="5" spans="1:14" ht="19">
      <c r="A5" s="78"/>
      <c r="B5" s="79"/>
      <c r="C5" s="79"/>
      <c r="D5" s="79"/>
      <c r="E5" s="79"/>
      <c r="F5" s="79"/>
      <c r="G5" s="81" t="s">
        <v>0</v>
      </c>
      <c r="H5" s="79"/>
      <c r="I5" s="79"/>
      <c r="J5" s="79"/>
      <c r="K5" s="79"/>
      <c r="L5" s="79"/>
      <c r="M5" s="79"/>
      <c r="N5" s="78"/>
    </row>
    <row r="6" spans="1:14" ht="15.5">
      <c r="A6" s="78"/>
      <c r="B6" s="79"/>
      <c r="C6" s="79"/>
      <c r="D6" s="79"/>
      <c r="E6" s="79"/>
      <c r="F6" s="79"/>
      <c r="G6" s="80" t="s">
        <v>1</v>
      </c>
      <c r="H6" s="79"/>
      <c r="I6" s="79"/>
      <c r="J6" s="79"/>
      <c r="K6" s="79"/>
      <c r="L6" s="79"/>
      <c r="M6" s="79"/>
      <c r="N6" s="78"/>
    </row>
    <row r="7" spans="1:14" ht="15.5">
      <c r="A7" s="78"/>
      <c r="B7" s="79"/>
      <c r="C7" s="79"/>
      <c r="D7" s="79"/>
      <c r="E7" s="79"/>
      <c r="F7" s="79"/>
      <c r="G7" s="80" t="s">
        <v>2</v>
      </c>
      <c r="H7" s="79"/>
      <c r="I7" s="79"/>
      <c r="J7" s="82"/>
      <c r="K7" s="79"/>
      <c r="L7" s="79"/>
      <c r="M7" s="79"/>
      <c r="N7" s="78"/>
    </row>
    <row r="8" spans="1:14" ht="15.5">
      <c r="A8" s="78"/>
      <c r="B8" s="79"/>
      <c r="C8" s="79"/>
      <c r="D8" s="79"/>
      <c r="E8" s="79"/>
      <c r="F8" s="79"/>
      <c r="G8" s="83" t="s">
        <v>105</v>
      </c>
      <c r="H8" s="79"/>
      <c r="I8" s="79"/>
      <c r="J8" s="82"/>
      <c r="K8" s="79"/>
      <c r="L8" s="79"/>
      <c r="M8" s="79"/>
      <c r="N8" s="78"/>
    </row>
    <row r="9" spans="1:14" ht="15.5">
      <c r="A9" s="78"/>
      <c r="B9" s="79"/>
      <c r="C9" s="79"/>
      <c r="D9" s="79"/>
      <c r="E9" s="79"/>
      <c r="F9" s="79"/>
      <c r="G9" s="80" t="s">
        <v>3</v>
      </c>
      <c r="H9" s="79"/>
      <c r="I9" s="79"/>
      <c r="J9" s="82"/>
      <c r="K9" s="79"/>
      <c r="L9" s="79"/>
      <c r="M9" s="79"/>
      <c r="N9" s="78"/>
    </row>
    <row r="10" spans="1:14" ht="7.5" customHeight="1">
      <c r="A10" s="78"/>
      <c r="B10" s="79"/>
      <c r="C10" s="84"/>
      <c r="D10" s="84"/>
      <c r="E10" s="84"/>
      <c r="F10" s="84"/>
      <c r="G10" s="85"/>
      <c r="H10" s="84"/>
      <c r="I10" s="86"/>
      <c r="J10" s="84"/>
      <c r="K10" s="84"/>
      <c r="L10" s="84"/>
      <c r="M10" s="79"/>
      <c r="N10" s="78"/>
    </row>
    <row r="11" spans="1:14" ht="6" customHeight="1">
      <c r="A11" s="78"/>
      <c r="B11" s="79"/>
      <c r="C11" s="79"/>
      <c r="D11" s="79"/>
      <c r="E11" s="79"/>
      <c r="F11" s="79"/>
      <c r="G11" s="80"/>
      <c r="H11" s="79"/>
      <c r="I11" s="79"/>
      <c r="J11" s="79"/>
      <c r="K11" s="79"/>
      <c r="L11" s="79"/>
      <c r="M11" s="79"/>
      <c r="N11" s="78"/>
    </row>
    <row r="12" spans="1:14" ht="25">
      <c r="A12" s="78"/>
      <c r="B12" s="79"/>
      <c r="C12" s="445" t="s">
        <v>4</v>
      </c>
      <c r="D12" s="437"/>
      <c r="E12" s="437"/>
      <c r="F12" s="437"/>
      <c r="G12" s="437"/>
      <c r="H12" s="437"/>
      <c r="I12" s="437"/>
      <c r="J12" s="437"/>
      <c r="K12" s="437"/>
      <c r="L12" s="437"/>
      <c r="M12" s="79"/>
      <c r="N12" s="78"/>
    </row>
    <row r="13" spans="1:14" ht="15.5">
      <c r="A13" s="78"/>
      <c r="B13" s="79"/>
      <c r="C13" s="79"/>
      <c r="D13" s="79"/>
      <c r="E13" s="79"/>
      <c r="F13" s="79"/>
      <c r="G13" s="80"/>
      <c r="H13" s="79"/>
      <c r="I13" s="79"/>
      <c r="J13" s="79"/>
      <c r="K13" s="79"/>
      <c r="L13" s="79"/>
      <c r="M13" s="79"/>
      <c r="N13" s="78"/>
    </row>
    <row r="14" spans="1:14" ht="16.5">
      <c r="A14" s="78"/>
      <c r="B14" s="79"/>
      <c r="C14" s="87" t="s">
        <v>106</v>
      </c>
      <c r="D14" s="87"/>
      <c r="E14" s="87"/>
      <c r="F14" s="82"/>
      <c r="G14" s="88"/>
      <c r="H14" s="89"/>
      <c r="I14" s="90"/>
      <c r="J14" s="90"/>
      <c r="K14" s="90"/>
      <c r="L14" s="90"/>
      <c r="M14" s="79"/>
      <c r="N14" s="78"/>
    </row>
    <row r="15" spans="1:14" ht="9" customHeight="1">
      <c r="A15" s="78"/>
      <c r="B15" s="79"/>
      <c r="C15" s="79"/>
      <c r="D15" s="79"/>
      <c r="E15" s="79"/>
      <c r="F15" s="82"/>
      <c r="G15" s="88"/>
      <c r="H15" s="90"/>
      <c r="I15" s="90"/>
      <c r="J15" s="90"/>
      <c r="K15" s="90"/>
      <c r="L15" s="90"/>
      <c r="M15" s="79"/>
      <c r="N15" s="78"/>
    </row>
    <row r="16" spans="1:14" ht="16.5">
      <c r="A16" s="78"/>
      <c r="B16" s="79"/>
      <c r="C16" s="79" t="s">
        <v>107</v>
      </c>
      <c r="D16" s="79"/>
      <c r="E16" s="79"/>
      <c r="F16" s="82"/>
      <c r="G16" s="88"/>
      <c r="H16" s="90"/>
      <c r="I16" s="91"/>
      <c r="J16" s="90"/>
      <c r="K16" s="90"/>
      <c r="L16" s="90"/>
      <c r="M16" s="79"/>
      <c r="N16" s="78"/>
    </row>
    <row r="17" spans="1:14" ht="16.5">
      <c r="A17" s="78"/>
      <c r="B17" s="79"/>
      <c r="C17" s="83" t="s">
        <v>108</v>
      </c>
      <c r="D17" s="79"/>
      <c r="E17" s="79"/>
      <c r="F17" s="82"/>
      <c r="G17" s="88"/>
      <c r="H17" s="90"/>
      <c r="I17" s="90"/>
      <c r="J17" s="90"/>
      <c r="K17" s="90"/>
      <c r="L17" s="90"/>
      <c r="M17" s="79"/>
      <c r="N17" s="78"/>
    </row>
    <row r="18" spans="1:14" ht="15.75" customHeight="1">
      <c r="A18" s="78"/>
      <c r="B18" s="79"/>
      <c r="C18" s="90"/>
      <c r="D18" s="90"/>
      <c r="E18" s="90"/>
      <c r="F18" s="90"/>
      <c r="G18" s="88"/>
      <c r="H18" s="90"/>
      <c r="I18" s="90"/>
      <c r="J18" s="90"/>
      <c r="K18" s="90"/>
      <c r="L18" s="90"/>
      <c r="M18" s="79"/>
      <c r="N18" s="78"/>
    </row>
    <row r="19" spans="1:14" ht="36" customHeight="1">
      <c r="A19" s="78"/>
      <c r="B19" s="79"/>
      <c r="C19" s="446" t="s">
        <v>5</v>
      </c>
      <c r="D19" s="447"/>
      <c r="E19" s="447"/>
      <c r="F19" s="447"/>
      <c r="G19" s="448"/>
      <c r="H19" s="92" t="s">
        <v>6</v>
      </c>
      <c r="I19" s="92" t="s">
        <v>7</v>
      </c>
      <c r="J19" s="92" t="s">
        <v>109</v>
      </c>
      <c r="K19" s="92" t="s">
        <v>8</v>
      </c>
      <c r="L19" s="93" t="s">
        <v>9</v>
      </c>
      <c r="M19" s="79"/>
      <c r="N19" s="78"/>
    </row>
    <row r="20" spans="1:14" ht="22.5" customHeight="1">
      <c r="A20" s="78"/>
      <c r="B20" s="82"/>
      <c r="C20" s="449" t="s">
        <v>10</v>
      </c>
      <c r="D20" s="450"/>
      <c r="E20" s="450"/>
      <c r="F20" s="450"/>
      <c r="G20" s="450"/>
      <c r="H20" s="450"/>
      <c r="I20" s="450"/>
      <c r="J20" s="450"/>
      <c r="K20" s="450"/>
      <c r="L20" s="451"/>
      <c r="M20" s="82"/>
      <c r="N20" s="78"/>
    </row>
    <row r="21" spans="1:14" ht="16.5" outlineLevel="1">
      <c r="A21" s="78"/>
      <c r="B21" s="82"/>
      <c r="C21" s="94"/>
      <c r="D21" s="95"/>
      <c r="E21" s="96"/>
      <c r="F21" s="97" t="s">
        <v>14</v>
      </c>
      <c r="G21" s="98"/>
      <c r="H21" s="99" t="s">
        <v>15</v>
      </c>
      <c r="I21" s="100">
        <v>1</v>
      </c>
      <c r="J21" s="101">
        <v>2</v>
      </c>
      <c r="K21" s="102">
        <v>3000000</v>
      </c>
      <c r="L21" s="103">
        <f t="shared" ref="L21:L26" si="0">I21*J21*K21</f>
        <v>6000000</v>
      </c>
      <c r="M21" s="82"/>
      <c r="N21" s="78"/>
    </row>
    <row r="22" spans="1:14" ht="26" outlineLevel="1">
      <c r="A22" s="78"/>
      <c r="B22" s="82"/>
      <c r="C22" s="104"/>
      <c r="D22" s="105"/>
      <c r="E22" s="106"/>
      <c r="F22" s="107" t="s">
        <v>16</v>
      </c>
      <c r="G22" s="108"/>
      <c r="H22" s="109" t="s">
        <v>110</v>
      </c>
      <c r="I22" s="100">
        <v>1</v>
      </c>
      <c r="J22" s="101">
        <v>2</v>
      </c>
      <c r="K22" s="110">
        <v>1250000</v>
      </c>
      <c r="L22" s="103">
        <f t="shared" si="0"/>
        <v>2500000</v>
      </c>
      <c r="M22" s="82"/>
      <c r="N22" s="78"/>
    </row>
    <row r="23" spans="1:14" ht="26" outlineLevel="1">
      <c r="A23" s="78"/>
      <c r="B23" s="82"/>
      <c r="C23" s="104"/>
      <c r="D23" s="105"/>
      <c r="E23" s="106"/>
      <c r="F23" s="107" t="s">
        <v>17</v>
      </c>
      <c r="G23" s="108"/>
      <c r="H23" s="109" t="s">
        <v>37</v>
      </c>
      <c r="I23" s="100">
        <v>1</v>
      </c>
      <c r="J23" s="101">
        <v>2</v>
      </c>
      <c r="K23" s="110">
        <v>1250000</v>
      </c>
      <c r="L23" s="103">
        <f t="shared" si="0"/>
        <v>2500000</v>
      </c>
      <c r="M23" s="82"/>
      <c r="N23" s="78"/>
    </row>
    <row r="24" spans="1:14" ht="16.5" outlineLevel="1">
      <c r="A24" s="78"/>
      <c r="B24" s="82"/>
      <c r="C24" s="104"/>
      <c r="D24" s="105"/>
      <c r="E24" s="106"/>
      <c r="F24" s="107" t="s">
        <v>13</v>
      </c>
      <c r="G24" s="108"/>
      <c r="H24" s="109" t="s">
        <v>111</v>
      </c>
      <c r="I24" s="100">
        <v>1</v>
      </c>
      <c r="J24" s="101">
        <v>2</v>
      </c>
      <c r="K24" s="110">
        <v>1250000</v>
      </c>
      <c r="L24" s="103">
        <f t="shared" si="0"/>
        <v>2500000</v>
      </c>
      <c r="M24" s="82"/>
      <c r="N24" s="78"/>
    </row>
    <row r="25" spans="1:14" ht="16.5" outlineLevel="1">
      <c r="A25" s="78"/>
      <c r="B25" s="82"/>
      <c r="C25" s="104"/>
      <c r="D25" s="105"/>
      <c r="E25" s="106"/>
      <c r="F25" s="107" t="s">
        <v>18</v>
      </c>
      <c r="G25" s="108"/>
      <c r="H25" s="109" t="s">
        <v>112</v>
      </c>
      <c r="I25" s="100">
        <v>1</v>
      </c>
      <c r="J25" s="101">
        <v>2</v>
      </c>
      <c r="K25" s="110">
        <v>3000000</v>
      </c>
      <c r="L25" s="103">
        <f t="shared" si="0"/>
        <v>6000000</v>
      </c>
      <c r="M25" s="82"/>
      <c r="N25" s="78"/>
    </row>
    <row r="26" spans="1:14" ht="26" outlineLevel="1">
      <c r="A26" s="78"/>
      <c r="B26" s="82"/>
      <c r="C26" s="104"/>
      <c r="D26" s="105"/>
      <c r="E26" s="106"/>
      <c r="F26" s="107" t="s">
        <v>113</v>
      </c>
      <c r="G26" s="108"/>
      <c r="H26" s="109" t="s">
        <v>114</v>
      </c>
      <c r="I26" s="100">
        <v>1</v>
      </c>
      <c r="J26" s="101">
        <v>2</v>
      </c>
      <c r="K26" s="110">
        <v>3000000</v>
      </c>
      <c r="L26" s="103">
        <f t="shared" si="0"/>
        <v>6000000</v>
      </c>
      <c r="M26" s="82"/>
      <c r="N26" s="78"/>
    </row>
    <row r="27" spans="1:14" ht="22.5" customHeight="1">
      <c r="A27" s="78"/>
      <c r="B27" s="82"/>
      <c r="C27" s="111"/>
      <c r="D27" s="452" t="s">
        <v>115</v>
      </c>
      <c r="E27" s="453"/>
      <c r="F27" s="454"/>
      <c r="G27" s="112" t="s">
        <v>11</v>
      </c>
      <c r="H27" s="113" t="s">
        <v>12</v>
      </c>
      <c r="I27" s="114" t="s">
        <v>116</v>
      </c>
      <c r="J27" s="115" t="s">
        <v>117</v>
      </c>
      <c r="K27" s="116">
        <f>SUM(K21:K26)</f>
        <v>12750000</v>
      </c>
      <c r="L27" s="117">
        <f>SUM(L21:L26)</f>
        <v>25500000</v>
      </c>
      <c r="M27" s="82">
        <v>25500000</v>
      </c>
      <c r="N27" s="78"/>
    </row>
    <row r="28" spans="1:14" ht="22.5" customHeight="1">
      <c r="A28" s="78"/>
      <c r="B28" s="82"/>
      <c r="C28" s="446" t="s">
        <v>118</v>
      </c>
      <c r="D28" s="447"/>
      <c r="E28" s="447"/>
      <c r="F28" s="447"/>
      <c r="G28" s="448"/>
      <c r="H28" s="455" t="s">
        <v>6</v>
      </c>
      <c r="I28" s="447"/>
      <c r="J28" s="448"/>
      <c r="K28" s="92" t="s">
        <v>8</v>
      </c>
      <c r="L28" s="118" t="s">
        <v>9</v>
      </c>
      <c r="M28" s="82"/>
      <c r="N28" s="78"/>
    </row>
    <row r="29" spans="1:14" ht="22.5" customHeight="1">
      <c r="A29" s="78"/>
      <c r="B29" s="82"/>
      <c r="C29" s="456" t="s">
        <v>119</v>
      </c>
      <c r="D29" s="450"/>
      <c r="E29" s="450"/>
      <c r="F29" s="450"/>
      <c r="G29" s="450"/>
      <c r="H29" s="450"/>
      <c r="I29" s="450"/>
      <c r="J29" s="450"/>
      <c r="K29" s="450"/>
      <c r="L29" s="451"/>
      <c r="M29" s="82"/>
      <c r="N29" s="78"/>
    </row>
    <row r="30" spans="1:14" ht="22.5" customHeight="1">
      <c r="A30" s="78"/>
      <c r="B30" s="82"/>
      <c r="C30" s="119"/>
      <c r="D30" s="120"/>
      <c r="E30" s="120"/>
      <c r="F30" s="475" t="s">
        <v>52</v>
      </c>
      <c r="G30" s="476"/>
      <c r="H30" s="120" t="s">
        <v>120</v>
      </c>
      <c r="I30" s="121"/>
      <c r="J30" s="122"/>
      <c r="K30" s="123">
        <v>0.3</v>
      </c>
      <c r="L30" s="124">
        <f>L27-L27*K30</f>
        <v>17850000</v>
      </c>
      <c r="M30" s="82"/>
      <c r="N30" s="78"/>
    </row>
    <row r="31" spans="1:14" ht="22.5" customHeight="1">
      <c r="A31" s="78"/>
      <c r="B31" s="82"/>
      <c r="C31" s="477" t="s">
        <v>121</v>
      </c>
      <c r="D31" s="478"/>
      <c r="E31" s="478"/>
      <c r="F31" s="478"/>
      <c r="G31" s="479"/>
      <c r="H31" s="125" t="s">
        <v>6</v>
      </c>
      <c r="I31" s="125" t="s">
        <v>7</v>
      </c>
      <c r="J31" s="125"/>
      <c r="K31" s="125" t="s">
        <v>8</v>
      </c>
      <c r="L31" s="126" t="s">
        <v>9</v>
      </c>
      <c r="M31" s="82"/>
      <c r="N31" s="78"/>
    </row>
    <row r="32" spans="1:14" ht="22.5" customHeight="1">
      <c r="A32" s="78"/>
      <c r="B32" s="82"/>
      <c r="C32" s="449" t="s">
        <v>122</v>
      </c>
      <c r="D32" s="450"/>
      <c r="E32" s="450"/>
      <c r="F32" s="450"/>
      <c r="G32" s="450"/>
      <c r="H32" s="450"/>
      <c r="I32" s="450"/>
      <c r="J32" s="450"/>
      <c r="K32" s="450"/>
      <c r="L32" s="451"/>
      <c r="M32" s="82"/>
      <c r="N32" s="78"/>
    </row>
    <row r="33" spans="1:14" ht="22.5" customHeight="1">
      <c r="A33" s="78"/>
      <c r="B33" s="82"/>
      <c r="C33" s="127"/>
      <c r="E33" s="128">
        <v>1</v>
      </c>
      <c r="F33" s="128" t="s">
        <v>123</v>
      </c>
      <c r="G33" s="128"/>
      <c r="H33" s="129" t="s">
        <v>124</v>
      </c>
      <c r="I33" s="130">
        <v>10</v>
      </c>
      <c r="J33" s="123"/>
      <c r="K33" s="121">
        <v>200000</v>
      </c>
      <c r="L33" s="131">
        <f>K33*I33</f>
        <v>2000000</v>
      </c>
      <c r="M33" s="82"/>
      <c r="N33" s="78"/>
    </row>
    <row r="34" spans="1:14" ht="22.5" customHeight="1">
      <c r="A34" s="78"/>
      <c r="B34" s="79"/>
      <c r="C34" s="480" t="s">
        <v>125</v>
      </c>
      <c r="D34" s="437"/>
      <c r="E34" s="437"/>
      <c r="F34" s="437"/>
      <c r="G34" s="481"/>
      <c r="H34" s="482" t="s">
        <v>6</v>
      </c>
      <c r="I34" s="478"/>
      <c r="J34" s="478"/>
      <c r="K34" s="479"/>
      <c r="L34" s="126" t="s">
        <v>9</v>
      </c>
      <c r="M34" s="79"/>
      <c r="N34" s="78"/>
    </row>
    <row r="35" spans="1:14" ht="21.75" customHeight="1" outlineLevel="1">
      <c r="A35" s="78"/>
      <c r="B35" s="82"/>
      <c r="C35" s="449" t="s">
        <v>19</v>
      </c>
      <c r="D35" s="450"/>
      <c r="E35" s="450"/>
      <c r="F35" s="450"/>
      <c r="G35" s="450"/>
      <c r="H35" s="450"/>
      <c r="I35" s="450"/>
      <c r="J35" s="450"/>
      <c r="K35" s="450"/>
      <c r="L35" s="451"/>
      <c r="M35" s="82"/>
      <c r="N35" s="78"/>
    </row>
    <row r="36" spans="1:14" ht="21.75" customHeight="1" outlineLevel="1">
      <c r="A36" s="78"/>
      <c r="B36" s="82"/>
      <c r="C36" s="132"/>
      <c r="D36" s="133"/>
      <c r="E36" s="133">
        <v>1</v>
      </c>
      <c r="F36" s="133" t="s">
        <v>20</v>
      </c>
      <c r="G36" s="134"/>
      <c r="H36" s="457" t="s">
        <v>126</v>
      </c>
      <c r="I36" s="458"/>
      <c r="J36" s="458"/>
      <c r="K36" s="459"/>
      <c r="L36" s="483">
        <v>10000000</v>
      </c>
      <c r="M36" s="82"/>
      <c r="N36" s="78"/>
    </row>
    <row r="37" spans="1:14" ht="31" outlineLevel="1">
      <c r="A37" s="78"/>
      <c r="B37" s="82"/>
      <c r="C37" s="135"/>
      <c r="D37" s="136"/>
      <c r="E37" s="136">
        <v>2</v>
      </c>
      <c r="F37" s="136" t="s">
        <v>21</v>
      </c>
      <c r="G37" s="137"/>
      <c r="H37" s="460" t="s">
        <v>22</v>
      </c>
      <c r="I37" s="461"/>
      <c r="J37" s="461"/>
      <c r="K37" s="462"/>
      <c r="L37" s="484"/>
      <c r="M37" s="82"/>
      <c r="N37" s="78"/>
    </row>
    <row r="38" spans="1:14" ht="31" outlineLevel="1">
      <c r="A38" s="78"/>
      <c r="B38" s="82"/>
      <c r="C38" s="135"/>
      <c r="D38" s="136"/>
      <c r="E38" s="136">
        <v>3</v>
      </c>
      <c r="F38" s="136" t="s">
        <v>23</v>
      </c>
      <c r="G38" s="137"/>
      <c r="H38" s="463" t="s">
        <v>24</v>
      </c>
      <c r="I38" s="464"/>
      <c r="J38" s="464"/>
      <c r="K38" s="465"/>
      <c r="L38" s="484"/>
      <c r="M38" s="82"/>
      <c r="N38" s="78"/>
    </row>
    <row r="39" spans="1:14" ht="15.5" outlineLevel="1">
      <c r="A39" s="78"/>
      <c r="B39" s="82"/>
      <c r="C39" s="135"/>
      <c r="D39" s="136"/>
      <c r="E39" s="136">
        <v>4</v>
      </c>
      <c r="F39" s="136" t="s">
        <v>25</v>
      </c>
      <c r="G39" s="137"/>
      <c r="H39" s="466"/>
      <c r="I39" s="467"/>
      <c r="J39" s="467"/>
      <c r="K39" s="468"/>
      <c r="L39" s="484"/>
      <c r="M39" s="82"/>
      <c r="N39" s="78"/>
    </row>
    <row r="40" spans="1:14" ht="15.5" outlineLevel="1">
      <c r="A40" s="78"/>
      <c r="B40" s="82"/>
      <c r="C40" s="135"/>
      <c r="D40" s="136"/>
      <c r="E40" s="136">
        <v>5</v>
      </c>
      <c r="F40" s="136" t="s">
        <v>26</v>
      </c>
      <c r="G40" s="137"/>
      <c r="H40" s="460" t="s">
        <v>127</v>
      </c>
      <c r="I40" s="461"/>
      <c r="J40" s="461"/>
      <c r="K40" s="462"/>
      <c r="L40" s="484"/>
      <c r="M40" s="82"/>
      <c r="N40" s="78"/>
    </row>
    <row r="41" spans="1:14" ht="21.75" customHeight="1" outlineLevel="1">
      <c r="A41" s="78"/>
      <c r="B41" s="82"/>
      <c r="C41" s="138"/>
      <c r="D41" s="139"/>
      <c r="E41" s="139">
        <v>6</v>
      </c>
      <c r="F41" s="139" t="s">
        <v>27</v>
      </c>
      <c r="G41" s="140"/>
      <c r="H41" s="469" t="s">
        <v>28</v>
      </c>
      <c r="I41" s="470"/>
      <c r="J41" s="470"/>
      <c r="K41" s="471"/>
      <c r="L41" s="485"/>
      <c r="M41" s="82"/>
      <c r="N41" s="78"/>
    </row>
    <row r="42" spans="1:14" ht="28.5" customHeight="1">
      <c r="A42" s="78"/>
      <c r="B42" s="82"/>
      <c r="C42" s="472" t="s">
        <v>30</v>
      </c>
      <c r="D42" s="473"/>
      <c r="E42" s="473"/>
      <c r="F42" s="473"/>
      <c r="G42" s="473"/>
      <c r="H42" s="473"/>
      <c r="I42" s="473"/>
      <c r="J42" s="473"/>
      <c r="K42" s="474"/>
      <c r="L42" s="141">
        <f>L30+L36+L33</f>
        <v>29850000</v>
      </c>
      <c r="M42" s="82"/>
      <c r="N42" s="78"/>
    </row>
    <row r="43" spans="1:14" ht="14.25" customHeight="1">
      <c r="A43" s="78"/>
      <c r="B43" s="82"/>
      <c r="C43" s="142"/>
      <c r="D43" s="142"/>
      <c r="E43" s="142"/>
      <c r="F43" s="142"/>
      <c r="G43" s="143"/>
      <c r="H43" s="142"/>
      <c r="I43" s="142"/>
      <c r="J43" s="142"/>
      <c r="K43" s="142"/>
      <c r="L43" s="144"/>
      <c r="M43" s="82"/>
      <c r="N43" s="78"/>
    </row>
    <row r="44" spans="1:14" ht="15.5">
      <c r="A44" s="78"/>
      <c r="B44" s="79"/>
      <c r="C44" s="84"/>
      <c r="D44" s="84"/>
      <c r="E44" s="84"/>
      <c r="F44" s="84"/>
      <c r="G44" s="85"/>
      <c r="H44" s="84"/>
      <c r="I44" s="86"/>
      <c r="J44" s="84"/>
      <c r="K44" s="84"/>
      <c r="L44" s="84"/>
      <c r="M44" s="79"/>
      <c r="N44" s="78"/>
    </row>
    <row r="45" spans="1:14" ht="19.5" customHeight="1">
      <c r="A45" s="78"/>
      <c r="B45" s="82"/>
      <c r="C45" s="82"/>
      <c r="D45" s="82"/>
      <c r="E45" s="82"/>
      <c r="F45" s="82"/>
      <c r="G45" s="82"/>
      <c r="H45" s="82"/>
      <c r="I45" s="82"/>
      <c r="J45" s="82"/>
      <c r="K45" s="82"/>
      <c r="L45" s="82"/>
      <c r="M45" s="82"/>
      <c r="N45" s="78"/>
    </row>
    <row r="46" spans="1:14" ht="15.5">
      <c r="A46" s="78"/>
      <c r="B46" s="79"/>
      <c r="C46" s="145" t="s">
        <v>33</v>
      </c>
      <c r="D46" s="80"/>
      <c r="E46" s="145"/>
      <c r="F46" s="82"/>
      <c r="G46" s="82"/>
      <c r="H46" s="145"/>
      <c r="I46" s="79"/>
      <c r="J46" s="79"/>
      <c r="K46" s="79"/>
      <c r="L46" s="79"/>
      <c r="M46" s="79"/>
      <c r="N46" s="78"/>
    </row>
    <row r="47" spans="1:14" ht="15.5">
      <c r="A47" s="78"/>
      <c r="B47" s="79"/>
      <c r="C47" s="79" t="s">
        <v>128</v>
      </c>
      <c r="D47" s="80"/>
      <c r="E47" s="79"/>
      <c r="F47" s="82"/>
      <c r="G47" s="82"/>
      <c r="H47" s="79"/>
      <c r="I47" s="79"/>
      <c r="J47" s="79"/>
      <c r="K47" s="79"/>
      <c r="L47" s="79"/>
      <c r="M47" s="79"/>
      <c r="N47" s="78"/>
    </row>
    <row r="48" spans="1:14" ht="15.5">
      <c r="A48" s="78"/>
      <c r="B48" s="79"/>
      <c r="C48" s="79" t="s">
        <v>129</v>
      </c>
      <c r="D48" s="80"/>
      <c r="E48" s="79"/>
      <c r="F48" s="82"/>
      <c r="G48" s="82"/>
      <c r="H48" s="79"/>
      <c r="I48" s="79"/>
      <c r="J48" s="79"/>
      <c r="K48" s="79"/>
      <c r="L48" s="79"/>
      <c r="M48" s="79"/>
      <c r="N48" s="78"/>
    </row>
    <row r="49" spans="1:14" ht="15.5">
      <c r="A49" s="78"/>
      <c r="B49" s="79"/>
      <c r="C49" s="145" t="s">
        <v>34</v>
      </c>
      <c r="D49" s="80"/>
      <c r="E49" s="145"/>
      <c r="F49" s="82"/>
      <c r="G49" s="82"/>
      <c r="H49" s="145"/>
      <c r="I49" s="79"/>
      <c r="J49" s="79"/>
      <c r="K49" s="79"/>
      <c r="L49" s="79"/>
      <c r="M49" s="79"/>
      <c r="N49" s="78"/>
    </row>
    <row r="50" spans="1:14" ht="15.5">
      <c r="A50" s="78"/>
      <c r="B50" s="79"/>
      <c r="C50" s="79" t="s">
        <v>35</v>
      </c>
      <c r="D50" s="80"/>
      <c r="E50" s="146"/>
      <c r="F50" s="82"/>
      <c r="G50" s="82"/>
      <c r="H50" s="79"/>
      <c r="I50" s="79"/>
      <c r="J50" s="79"/>
      <c r="K50" s="79"/>
      <c r="L50" s="79"/>
      <c r="M50" s="79"/>
      <c r="N50" s="78"/>
    </row>
    <row r="51" spans="1:14" ht="15.5">
      <c r="A51" s="78"/>
      <c r="B51" s="79"/>
      <c r="C51" s="146"/>
      <c r="D51" s="146"/>
      <c r="E51" s="146"/>
      <c r="F51" s="146"/>
      <c r="G51" s="147"/>
      <c r="H51" s="146"/>
      <c r="I51" s="146"/>
      <c r="J51" s="146"/>
      <c r="K51" s="146"/>
      <c r="L51" s="146"/>
      <c r="M51" s="79"/>
      <c r="N51" s="78"/>
    </row>
    <row r="52" spans="1:14" ht="15.5">
      <c r="A52" s="78"/>
      <c r="B52" s="78"/>
      <c r="C52" s="78"/>
      <c r="D52" s="78"/>
      <c r="E52" s="78"/>
      <c r="F52" s="78"/>
      <c r="G52" s="78"/>
      <c r="H52" s="78"/>
      <c r="I52" s="78"/>
      <c r="J52" s="78"/>
      <c r="K52" s="78"/>
      <c r="L52" s="78"/>
      <c r="M52" s="78"/>
      <c r="N52" s="78"/>
    </row>
  </sheetData>
  <mergeCells count="20">
    <mergeCell ref="H41:K41"/>
    <mergeCell ref="C42:K42"/>
    <mergeCell ref="F30:G30"/>
    <mergeCell ref="C31:G31"/>
    <mergeCell ref="C32:L32"/>
    <mergeCell ref="C34:G34"/>
    <mergeCell ref="H34:K34"/>
    <mergeCell ref="C35:L35"/>
    <mergeCell ref="L36:L41"/>
    <mergeCell ref="C29:L29"/>
    <mergeCell ref="H36:K36"/>
    <mergeCell ref="H37:K37"/>
    <mergeCell ref="H38:K39"/>
    <mergeCell ref="H40:K40"/>
    <mergeCell ref="C12:L12"/>
    <mergeCell ref="C19:G19"/>
    <mergeCell ref="C20:L20"/>
    <mergeCell ref="D27:F27"/>
    <mergeCell ref="C28:G28"/>
    <mergeCell ref="H28:J28"/>
  </mergeCells>
  <hyperlinks>
    <hyperlink ref="G8" r:id="rId1" xr:uid="{00000000-0004-0000-0400-000000000000}"/>
    <hyperlink ref="C17" r:id="rId2" xr:uid="{00000000-0004-0000-0400-000001000000}"/>
  </hyperlinks>
  <printOptions horizontalCentered="1" gridLines="1"/>
  <pageMargins left="0" right="0" top="0" bottom="4.3821380435553667" header="0" footer="0"/>
  <pageSetup paperSize="9" fitToHeight="0" pageOrder="overThenDown" orientation="portrait" cellComments="atEnd"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A96"/>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20.1796875" customWidth="1"/>
    <col min="8" max="10" width="13.453125" customWidth="1"/>
    <col min="11" max="14" width="3.26953125" customWidth="1"/>
    <col min="15" max="15" width="18.81640625" customWidth="1"/>
    <col min="16" max="16" width="3.26953125" customWidth="1"/>
    <col min="17" max="18" width="20.1796875" customWidth="1"/>
    <col min="19" max="21" width="14.26953125" customWidth="1"/>
    <col min="22" max="22" width="13.453125" customWidth="1"/>
    <col min="23" max="25" width="3.26953125" customWidth="1"/>
    <col min="26" max="26" width="18.81640625" customWidth="1"/>
    <col min="27" max="27" width="3.26953125" customWidth="1"/>
    <col min="28" max="29" width="20.1796875" customWidth="1"/>
    <col min="30" max="32" width="14.7265625" customWidth="1"/>
    <col min="33" max="33" width="18.81640625" customWidth="1"/>
    <col min="34" max="36" width="3.26953125" customWidth="1"/>
    <col min="37" max="37" width="18.81640625" customWidth="1"/>
    <col min="38" max="38" width="3.26953125" customWidth="1"/>
    <col min="39" max="40" width="18.54296875" customWidth="1"/>
    <col min="41" max="43" width="15.453125" customWidth="1"/>
    <col min="44" max="44" width="18.81640625" customWidth="1"/>
    <col min="45" max="47" width="3.26953125" customWidth="1"/>
    <col min="48" max="48" width="18.81640625" customWidth="1"/>
    <col min="49" max="49" width="3.26953125" customWidth="1"/>
    <col min="50" max="51" width="18.54296875" customWidth="1"/>
    <col min="52" max="54" width="15.1796875" customWidth="1"/>
    <col min="55" max="55" width="18.81640625" customWidth="1"/>
    <col min="56" max="58" width="3.26953125" customWidth="1"/>
    <col min="59" max="59" width="18.81640625" customWidth="1"/>
    <col min="60" max="60" width="3.26953125" customWidth="1"/>
    <col min="61" max="62" width="18.54296875" customWidth="1"/>
    <col min="63" max="65" width="14.54296875" customWidth="1"/>
    <col min="66" max="66" width="18.81640625" customWidth="1"/>
    <col min="67" max="69" width="3.26953125" customWidth="1"/>
    <col min="70" max="70" width="18.81640625" customWidth="1"/>
    <col min="71" max="71" width="3.26953125" customWidth="1"/>
    <col min="72" max="73" width="18.54296875" customWidth="1"/>
    <col min="74" max="76" width="14.54296875" customWidth="1"/>
    <col min="77" max="77" width="18.81640625" customWidth="1"/>
    <col min="78" max="79" width="3.26953125" customWidth="1"/>
  </cols>
  <sheetData>
    <row r="1" spans="1:79" ht="18.75" customHeight="1">
      <c r="A1" s="148"/>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148"/>
      <c r="BV1" s="148"/>
      <c r="BW1" s="148"/>
      <c r="BX1" s="148"/>
      <c r="BY1" s="148"/>
      <c r="BZ1" s="148"/>
      <c r="CA1" s="148"/>
    </row>
    <row r="2" spans="1:79" ht="12.5">
      <c r="A2" s="148"/>
      <c r="B2" s="6"/>
      <c r="C2" s="6"/>
      <c r="D2" s="6"/>
      <c r="E2" s="6"/>
      <c r="F2" s="6"/>
      <c r="G2" s="6"/>
      <c r="H2" s="6"/>
      <c r="I2" s="6"/>
      <c r="J2" s="6"/>
      <c r="K2" s="6"/>
      <c r="L2" s="148"/>
      <c r="M2" s="148"/>
      <c r="N2" s="6"/>
      <c r="O2" s="6"/>
      <c r="P2" s="6"/>
      <c r="Q2" s="6"/>
      <c r="R2" s="6"/>
      <c r="S2" s="6"/>
      <c r="T2" s="6"/>
      <c r="U2" s="6"/>
      <c r="V2" s="6"/>
      <c r="W2" s="6"/>
      <c r="X2" s="148"/>
      <c r="Y2" s="6"/>
      <c r="Z2" s="6"/>
      <c r="AA2" s="6"/>
      <c r="AB2" s="6"/>
      <c r="AC2" s="6"/>
      <c r="AD2" s="6"/>
      <c r="AE2" s="6"/>
      <c r="AF2" s="6"/>
      <c r="AG2" s="6"/>
      <c r="AH2" s="6"/>
      <c r="AI2" s="148"/>
      <c r="AJ2" s="6"/>
      <c r="AK2" s="6"/>
      <c r="AL2" s="6"/>
      <c r="AM2" s="6"/>
      <c r="AN2" s="6"/>
      <c r="AO2" s="6"/>
      <c r="AP2" s="6"/>
      <c r="AQ2" s="6"/>
      <c r="AR2" s="6"/>
      <c r="AS2" s="6"/>
      <c r="AT2" s="148"/>
      <c r="AU2" s="6"/>
      <c r="AV2" s="6"/>
      <c r="AW2" s="6"/>
      <c r="AX2" s="6"/>
      <c r="AY2" s="6"/>
      <c r="AZ2" s="6"/>
      <c r="BA2" s="6"/>
      <c r="BB2" s="6"/>
      <c r="BC2" s="6"/>
      <c r="BD2" s="6"/>
      <c r="BE2" s="148"/>
      <c r="BF2" s="6"/>
      <c r="BG2" s="6"/>
      <c r="BH2" s="6"/>
      <c r="BI2" s="6"/>
      <c r="BJ2" s="6"/>
      <c r="BK2" s="6"/>
      <c r="BL2" s="6"/>
      <c r="BM2" s="6"/>
      <c r="BN2" s="6"/>
      <c r="BO2" s="6"/>
      <c r="BP2" s="148"/>
      <c r="BQ2" s="6"/>
      <c r="BR2" s="6"/>
      <c r="BS2" s="6"/>
      <c r="BT2" s="6"/>
      <c r="BU2" s="6"/>
      <c r="BV2" s="6"/>
      <c r="BW2" s="6"/>
      <c r="BX2" s="6"/>
      <c r="BY2" s="6"/>
      <c r="BZ2" s="6"/>
      <c r="CA2" s="148"/>
    </row>
    <row r="3" spans="1:79" ht="37.5" customHeight="1">
      <c r="A3" s="148"/>
      <c r="B3" s="6"/>
      <c r="C3" s="614" t="s">
        <v>130</v>
      </c>
      <c r="D3" s="149"/>
      <c r="E3" s="438"/>
      <c r="F3" s="437"/>
      <c r="G3" s="6"/>
      <c r="H3" s="616" t="s">
        <v>131</v>
      </c>
      <c r="I3" s="588" t="s">
        <v>132</v>
      </c>
      <c r="J3" s="437"/>
      <c r="K3" s="6"/>
      <c r="L3" s="148"/>
      <c r="M3" s="148"/>
      <c r="N3" s="6"/>
      <c r="O3" s="617" t="s">
        <v>133</v>
      </c>
      <c r="P3" s="149"/>
      <c r="Q3" s="438"/>
      <c r="R3" s="437"/>
      <c r="S3" s="6"/>
      <c r="T3" s="619" t="s">
        <v>131</v>
      </c>
      <c r="U3" s="588" t="s">
        <v>36</v>
      </c>
      <c r="V3" s="437"/>
      <c r="W3" s="6"/>
      <c r="X3" s="148"/>
      <c r="Y3" s="6"/>
      <c r="Z3" s="589" t="s">
        <v>134</v>
      </c>
      <c r="AA3" s="149"/>
      <c r="AB3" s="438"/>
      <c r="AC3" s="437"/>
      <c r="AD3" s="6"/>
      <c r="AE3" s="591" t="s">
        <v>131</v>
      </c>
      <c r="AF3" s="588" t="s">
        <v>110</v>
      </c>
      <c r="AG3" s="437"/>
      <c r="AH3" s="6"/>
      <c r="AI3" s="148"/>
      <c r="AJ3" s="6"/>
      <c r="AK3" s="592" t="s">
        <v>135</v>
      </c>
      <c r="AL3" s="149"/>
      <c r="AM3" s="438"/>
      <c r="AN3" s="437"/>
      <c r="AO3" s="6"/>
      <c r="AP3" s="605" t="s">
        <v>131</v>
      </c>
      <c r="AQ3" s="588" t="s">
        <v>37</v>
      </c>
      <c r="AR3" s="437"/>
      <c r="AS3" s="6"/>
      <c r="AT3" s="148"/>
      <c r="AU3" s="6"/>
      <c r="AV3" s="606" t="s">
        <v>136</v>
      </c>
      <c r="AW3" s="149"/>
      <c r="AX3" s="438"/>
      <c r="AY3" s="437"/>
      <c r="AZ3" s="6"/>
      <c r="BA3" s="608" t="s">
        <v>131</v>
      </c>
      <c r="BB3" s="588" t="s">
        <v>112</v>
      </c>
      <c r="BC3" s="437"/>
      <c r="BD3" s="6"/>
      <c r="BE3" s="148"/>
      <c r="BF3" s="6"/>
      <c r="BG3" s="609" t="s">
        <v>137</v>
      </c>
      <c r="BH3" s="149"/>
      <c r="BI3" s="438"/>
      <c r="BJ3" s="437"/>
      <c r="BK3" s="6"/>
      <c r="BL3" s="620" t="s">
        <v>131</v>
      </c>
      <c r="BM3" s="588" t="s">
        <v>111</v>
      </c>
      <c r="BN3" s="437"/>
      <c r="BO3" s="6"/>
      <c r="BP3" s="148"/>
      <c r="BQ3" s="6"/>
      <c r="BR3" s="621" t="s">
        <v>138</v>
      </c>
      <c r="BS3" s="149"/>
      <c r="BT3" s="438"/>
      <c r="BU3" s="437"/>
      <c r="BV3" s="6"/>
      <c r="BW3" s="603" t="s">
        <v>131</v>
      </c>
      <c r="BX3" s="588" t="s">
        <v>114</v>
      </c>
      <c r="BY3" s="437"/>
      <c r="BZ3" s="6"/>
      <c r="CA3" s="148"/>
    </row>
    <row r="4" spans="1:79" ht="37.5" customHeight="1">
      <c r="A4" s="148"/>
      <c r="B4" s="6"/>
      <c r="C4" s="615"/>
      <c r="D4" s="149"/>
      <c r="E4" s="437"/>
      <c r="F4" s="437"/>
      <c r="G4" s="6"/>
      <c r="H4" s="615"/>
      <c r="I4" s="437"/>
      <c r="J4" s="437"/>
      <c r="K4" s="6"/>
      <c r="L4" s="148"/>
      <c r="M4" s="148"/>
      <c r="N4" s="6"/>
      <c r="O4" s="618"/>
      <c r="P4" s="149"/>
      <c r="Q4" s="437"/>
      <c r="R4" s="437"/>
      <c r="S4" s="6"/>
      <c r="T4" s="618"/>
      <c r="U4" s="437"/>
      <c r="V4" s="437"/>
      <c r="W4" s="6"/>
      <c r="X4" s="148"/>
      <c r="Y4" s="6"/>
      <c r="Z4" s="590"/>
      <c r="AA4" s="149"/>
      <c r="AB4" s="437"/>
      <c r="AC4" s="437"/>
      <c r="AD4" s="6"/>
      <c r="AE4" s="590"/>
      <c r="AF4" s="437"/>
      <c r="AG4" s="437"/>
      <c r="AH4" s="6"/>
      <c r="AI4" s="148"/>
      <c r="AJ4" s="6"/>
      <c r="AK4" s="593"/>
      <c r="AL4" s="149"/>
      <c r="AM4" s="437"/>
      <c r="AN4" s="437"/>
      <c r="AO4" s="6"/>
      <c r="AP4" s="593"/>
      <c r="AQ4" s="437"/>
      <c r="AR4" s="437"/>
      <c r="AS4" s="6"/>
      <c r="AT4" s="148"/>
      <c r="AU4" s="6"/>
      <c r="AV4" s="607"/>
      <c r="AW4" s="149"/>
      <c r="AX4" s="437"/>
      <c r="AY4" s="437"/>
      <c r="AZ4" s="6"/>
      <c r="BA4" s="607"/>
      <c r="BB4" s="437"/>
      <c r="BC4" s="437"/>
      <c r="BD4" s="6"/>
      <c r="BE4" s="148"/>
      <c r="BF4" s="6"/>
      <c r="BG4" s="610"/>
      <c r="BH4" s="149"/>
      <c r="BI4" s="437"/>
      <c r="BJ4" s="437"/>
      <c r="BK4" s="6"/>
      <c r="BL4" s="610"/>
      <c r="BM4" s="437"/>
      <c r="BN4" s="437"/>
      <c r="BO4" s="6"/>
      <c r="BP4" s="148"/>
      <c r="BQ4" s="6"/>
      <c r="BR4" s="604"/>
      <c r="BS4" s="149"/>
      <c r="BT4" s="437"/>
      <c r="BU4" s="437"/>
      <c r="BV4" s="6"/>
      <c r="BW4" s="604"/>
      <c r="BX4" s="437"/>
      <c r="BY4" s="437"/>
      <c r="BZ4" s="6"/>
      <c r="CA4" s="148"/>
    </row>
    <row r="5" spans="1:79" ht="12.5">
      <c r="A5" s="148"/>
      <c r="B5" s="6"/>
      <c r="C5" s="6"/>
      <c r="D5" s="6"/>
      <c r="E5" s="6"/>
      <c r="F5" s="6"/>
      <c r="G5" s="6"/>
      <c r="H5" s="6"/>
      <c r="I5" s="6"/>
      <c r="J5" s="6"/>
      <c r="K5" s="6"/>
      <c r="L5" s="148"/>
      <c r="M5" s="148"/>
      <c r="N5" s="6"/>
      <c r="O5" s="6"/>
      <c r="P5" s="6"/>
      <c r="Q5" s="6"/>
      <c r="R5" s="6"/>
      <c r="S5" s="6"/>
      <c r="T5" s="6"/>
      <c r="U5" s="6"/>
      <c r="V5" s="6"/>
      <c r="W5" s="6"/>
      <c r="X5" s="148"/>
      <c r="Y5" s="6"/>
      <c r="Z5" s="6"/>
      <c r="AA5" s="6"/>
      <c r="AB5" s="6"/>
      <c r="AC5" s="6"/>
      <c r="AD5" s="6"/>
      <c r="AE5" s="6"/>
      <c r="AF5" s="6"/>
      <c r="AG5" s="6"/>
      <c r="AH5" s="6"/>
      <c r="AI5" s="148"/>
      <c r="AJ5" s="6"/>
      <c r="AK5" s="6"/>
      <c r="AL5" s="6"/>
      <c r="AM5" s="6"/>
      <c r="AN5" s="6"/>
      <c r="AO5" s="6"/>
      <c r="AP5" s="6"/>
      <c r="AQ5" s="6"/>
      <c r="AR5" s="6"/>
      <c r="AS5" s="6"/>
      <c r="AT5" s="148"/>
      <c r="AU5" s="6"/>
      <c r="AV5" s="6"/>
      <c r="AW5" s="6"/>
      <c r="AX5" s="6"/>
      <c r="AY5" s="6"/>
      <c r="AZ5" s="6"/>
      <c r="BA5" s="6"/>
      <c r="BB5" s="6"/>
      <c r="BC5" s="6"/>
      <c r="BD5" s="6"/>
      <c r="BE5" s="148"/>
      <c r="BF5" s="6"/>
      <c r="BG5" s="6"/>
      <c r="BH5" s="6"/>
      <c r="BI5" s="6"/>
      <c r="BJ5" s="6"/>
      <c r="BK5" s="6"/>
      <c r="BL5" s="6"/>
      <c r="BM5" s="6"/>
      <c r="BN5" s="6"/>
      <c r="BO5" s="6"/>
      <c r="BP5" s="148"/>
      <c r="BQ5" s="6"/>
      <c r="BR5" s="6"/>
      <c r="BS5" s="6"/>
      <c r="BT5" s="6"/>
      <c r="BU5" s="6"/>
      <c r="BV5" s="6"/>
      <c r="BW5" s="6"/>
      <c r="BX5" s="6"/>
      <c r="BY5" s="6"/>
      <c r="BZ5" s="6"/>
      <c r="CA5" s="148"/>
    </row>
    <row r="6" spans="1:79" ht="12.5">
      <c r="A6" s="148"/>
      <c r="B6" s="6"/>
      <c r="C6" s="6"/>
      <c r="D6" s="6"/>
      <c r="E6" s="6"/>
      <c r="F6" s="6"/>
      <c r="G6" s="6"/>
      <c r="H6" s="6"/>
      <c r="I6" s="6"/>
      <c r="J6" s="6"/>
      <c r="K6" s="6"/>
      <c r="L6" s="148"/>
      <c r="M6" s="148"/>
      <c r="N6" s="6"/>
      <c r="O6" s="6"/>
      <c r="P6" s="6"/>
      <c r="Q6" s="6"/>
      <c r="R6" s="6"/>
      <c r="S6" s="6"/>
      <c r="T6" s="6"/>
      <c r="U6" s="6"/>
      <c r="V6" s="6"/>
      <c r="W6" s="6"/>
      <c r="X6" s="148"/>
      <c r="Y6" s="6"/>
      <c r="Z6" s="6"/>
      <c r="AA6" s="6"/>
      <c r="AB6" s="6"/>
      <c r="AC6" s="6"/>
      <c r="AD6" s="6"/>
      <c r="AE6" s="6"/>
      <c r="AF6" s="6"/>
      <c r="AG6" s="6"/>
      <c r="AH6" s="6"/>
      <c r="AI6" s="148"/>
      <c r="AJ6" s="6"/>
      <c r="AK6" s="6"/>
      <c r="AL6" s="6"/>
      <c r="AM6" s="6"/>
      <c r="AN6" s="6"/>
      <c r="AO6" s="6"/>
      <c r="AP6" s="6"/>
      <c r="AQ6" s="6"/>
      <c r="AR6" s="6"/>
      <c r="AS6" s="6"/>
      <c r="AT6" s="148"/>
      <c r="AU6" s="6"/>
      <c r="AV6" s="6"/>
      <c r="AW6" s="6"/>
      <c r="AX6" s="6"/>
      <c r="AY6" s="6"/>
      <c r="AZ6" s="6"/>
      <c r="BA6" s="6"/>
      <c r="BB6" s="6"/>
      <c r="BC6" s="6"/>
      <c r="BD6" s="6"/>
      <c r="BE6" s="148"/>
      <c r="BF6" s="6"/>
      <c r="BG6" s="6"/>
      <c r="BH6" s="6"/>
      <c r="BI6" s="6"/>
      <c r="BJ6" s="6"/>
      <c r="BK6" s="6"/>
      <c r="BL6" s="6"/>
      <c r="BM6" s="6"/>
      <c r="BN6" s="6"/>
      <c r="BO6" s="6"/>
      <c r="BP6" s="148"/>
      <c r="BQ6" s="6"/>
      <c r="BR6" s="6"/>
      <c r="BS6" s="6"/>
      <c r="BT6" s="6"/>
      <c r="BU6" s="6"/>
      <c r="BV6" s="6"/>
      <c r="BW6" s="6"/>
      <c r="BX6" s="6"/>
      <c r="BY6" s="6"/>
      <c r="BZ6" s="6"/>
      <c r="CA6" s="148"/>
    </row>
    <row r="7" spans="1:79" ht="22.5" customHeight="1">
      <c r="A7" s="148"/>
      <c r="B7" s="6"/>
      <c r="C7" s="18"/>
      <c r="D7" s="580" t="s">
        <v>139</v>
      </c>
      <c r="E7" s="437"/>
      <c r="F7" s="6"/>
      <c r="G7" s="150" t="s">
        <v>46</v>
      </c>
      <c r="H7" s="150" t="s">
        <v>11</v>
      </c>
      <c r="I7" s="150" t="s">
        <v>47</v>
      </c>
      <c r="J7" s="6"/>
      <c r="K7" s="6"/>
      <c r="L7" s="148"/>
      <c r="M7" s="148"/>
      <c r="N7" s="6"/>
      <c r="O7" s="18"/>
      <c r="P7" s="594" t="s">
        <v>139</v>
      </c>
      <c r="Q7" s="437"/>
      <c r="R7" s="6"/>
      <c r="S7" s="151" t="s">
        <v>46</v>
      </c>
      <c r="T7" s="151" t="s">
        <v>11</v>
      </c>
      <c r="U7" s="151" t="s">
        <v>47</v>
      </c>
      <c r="V7" s="6"/>
      <c r="W7" s="6"/>
      <c r="X7" s="148"/>
      <c r="Y7" s="6"/>
      <c r="Z7" s="18"/>
      <c r="AA7" s="595" t="s">
        <v>139</v>
      </c>
      <c r="AB7" s="437"/>
      <c r="AC7" s="6"/>
      <c r="AD7" s="152" t="s">
        <v>46</v>
      </c>
      <c r="AE7" s="152" t="s">
        <v>11</v>
      </c>
      <c r="AF7" s="152" t="s">
        <v>47</v>
      </c>
      <c r="AG7" s="6"/>
      <c r="AH7" s="6"/>
      <c r="AI7" s="148"/>
      <c r="AJ7" s="6"/>
      <c r="AK7" s="18"/>
      <c r="AL7" s="596" t="s">
        <v>139</v>
      </c>
      <c r="AM7" s="437"/>
      <c r="AN7" s="6"/>
      <c r="AO7" s="153" t="s">
        <v>46</v>
      </c>
      <c r="AP7" s="153" t="s">
        <v>11</v>
      </c>
      <c r="AQ7" s="153" t="s">
        <v>47</v>
      </c>
      <c r="AR7" s="6"/>
      <c r="AS7" s="6"/>
      <c r="AT7" s="148"/>
      <c r="AU7" s="6"/>
      <c r="AV7" s="18"/>
      <c r="AW7" s="597" t="s">
        <v>139</v>
      </c>
      <c r="AX7" s="437"/>
      <c r="AY7" s="6"/>
      <c r="AZ7" s="154" t="s">
        <v>46</v>
      </c>
      <c r="BA7" s="154" t="s">
        <v>11</v>
      </c>
      <c r="BB7" s="154" t="s">
        <v>47</v>
      </c>
      <c r="BC7" s="6"/>
      <c r="BD7" s="6"/>
      <c r="BE7" s="148"/>
      <c r="BF7" s="6"/>
      <c r="BG7" s="18"/>
      <c r="BH7" s="598" t="s">
        <v>139</v>
      </c>
      <c r="BI7" s="437"/>
      <c r="BJ7" s="6"/>
      <c r="BK7" s="155" t="s">
        <v>46</v>
      </c>
      <c r="BL7" s="155" t="s">
        <v>11</v>
      </c>
      <c r="BM7" s="155" t="s">
        <v>47</v>
      </c>
      <c r="BN7" s="6"/>
      <c r="BO7" s="6"/>
      <c r="BP7" s="148"/>
      <c r="BQ7" s="6"/>
      <c r="BR7" s="18"/>
      <c r="BS7" s="611" t="s">
        <v>139</v>
      </c>
      <c r="BT7" s="437"/>
      <c r="BU7" s="6"/>
      <c r="BV7" s="156" t="s">
        <v>46</v>
      </c>
      <c r="BW7" s="156" t="s">
        <v>11</v>
      </c>
      <c r="BX7" s="156" t="s">
        <v>47</v>
      </c>
      <c r="BY7" s="6"/>
      <c r="BZ7" s="6"/>
      <c r="CA7" s="148"/>
    </row>
    <row r="8" spans="1:79" ht="12.5">
      <c r="A8" s="148"/>
      <c r="B8" s="6"/>
      <c r="C8" s="6"/>
      <c r="D8" s="6"/>
      <c r="E8" s="6"/>
      <c r="F8" s="6"/>
      <c r="G8" s="6"/>
      <c r="H8" s="6"/>
      <c r="I8" s="6"/>
      <c r="J8" s="6"/>
      <c r="K8" s="6"/>
      <c r="L8" s="148"/>
      <c r="M8" s="148"/>
      <c r="N8" s="6"/>
      <c r="O8" s="6"/>
      <c r="P8" s="6"/>
      <c r="Q8" s="6"/>
      <c r="R8" s="6"/>
      <c r="S8" s="6"/>
      <c r="T8" s="6"/>
      <c r="U8" s="6"/>
      <c r="V8" s="6"/>
      <c r="W8" s="6"/>
      <c r="X8" s="148"/>
      <c r="Y8" s="6"/>
      <c r="Z8" s="6"/>
      <c r="AA8" s="6"/>
      <c r="AB8" s="6"/>
      <c r="AC8" s="6"/>
      <c r="AD8" s="6"/>
      <c r="AE8" s="6"/>
      <c r="AF8" s="6"/>
      <c r="AG8" s="6"/>
      <c r="AH8" s="6"/>
      <c r="AI8" s="148"/>
      <c r="AJ8" s="6"/>
      <c r="AK8" s="6"/>
      <c r="AL8" s="6"/>
      <c r="AM8" s="6"/>
      <c r="AN8" s="6"/>
      <c r="AO8" s="6"/>
      <c r="AP8" s="6"/>
      <c r="AQ8" s="6"/>
      <c r="AR8" s="6"/>
      <c r="AS8" s="6"/>
      <c r="AT8" s="148"/>
      <c r="AU8" s="6"/>
      <c r="AV8" s="6"/>
      <c r="AW8" s="6"/>
      <c r="AX8" s="6"/>
      <c r="AY8" s="6"/>
      <c r="AZ8" s="6"/>
      <c r="BA8" s="6"/>
      <c r="BB8" s="6"/>
      <c r="BC8" s="6"/>
      <c r="BD8" s="6"/>
      <c r="BE8" s="148"/>
      <c r="BF8" s="6"/>
      <c r="BG8" s="6"/>
      <c r="BH8" s="6"/>
      <c r="BI8" s="6"/>
      <c r="BJ8" s="6"/>
      <c r="BK8" s="6"/>
      <c r="BL8" s="6"/>
      <c r="BM8" s="6"/>
      <c r="BN8" s="6"/>
      <c r="BO8" s="6"/>
      <c r="BP8" s="148"/>
      <c r="BQ8" s="6"/>
      <c r="BR8" s="6"/>
      <c r="BS8" s="6"/>
      <c r="BT8" s="6"/>
      <c r="BU8" s="6"/>
      <c r="BV8" s="6"/>
      <c r="BW8" s="6"/>
      <c r="BX8" s="6"/>
      <c r="BY8" s="6"/>
      <c r="BZ8" s="6"/>
      <c r="CA8" s="148"/>
    </row>
    <row r="9" spans="1:79" ht="29.25" customHeight="1">
      <c r="A9" s="148"/>
      <c r="B9" s="6"/>
      <c r="C9" s="6"/>
      <c r="D9" s="508" t="s">
        <v>140</v>
      </c>
      <c r="E9" s="509"/>
      <c r="F9" s="509"/>
      <c r="G9" s="157"/>
      <c r="H9" s="157"/>
      <c r="I9" s="158"/>
      <c r="J9" s="6"/>
      <c r="K9" s="6"/>
      <c r="L9" s="148"/>
      <c r="M9" s="148"/>
      <c r="N9" s="6"/>
      <c r="O9" s="6"/>
      <c r="P9" s="539" t="s">
        <v>140</v>
      </c>
      <c r="Q9" s="540"/>
      <c r="R9" s="540"/>
      <c r="S9" s="159"/>
      <c r="T9" s="159"/>
      <c r="U9" s="160"/>
      <c r="V9" s="6"/>
      <c r="W9" s="6"/>
      <c r="X9" s="148"/>
      <c r="Y9" s="6"/>
      <c r="Z9" s="6"/>
      <c r="AA9" s="541" t="s">
        <v>140</v>
      </c>
      <c r="AB9" s="542"/>
      <c r="AC9" s="542"/>
      <c r="AD9" s="161"/>
      <c r="AE9" s="161"/>
      <c r="AF9" s="162"/>
      <c r="AG9" s="6"/>
      <c r="AH9" s="6"/>
      <c r="AI9" s="148"/>
      <c r="AJ9" s="6"/>
      <c r="AK9" s="6"/>
      <c r="AL9" s="518" t="s">
        <v>140</v>
      </c>
      <c r="AM9" s="519"/>
      <c r="AN9" s="519"/>
      <c r="AO9" s="163"/>
      <c r="AP9" s="163"/>
      <c r="AQ9" s="164"/>
      <c r="AR9" s="6"/>
      <c r="AS9" s="6"/>
      <c r="AT9" s="148"/>
      <c r="AU9" s="6"/>
      <c r="AV9" s="6"/>
      <c r="AW9" s="524" t="s">
        <v>140</v>
      </c>
      <c r="AX9" s="525"/>
      <c r="AY9" s="525"/>
      <c r="AZ9" s="165"/>
      <c r="BA9" s="165"/>
      <c r="BB9" s="166"/>
      <c r="BC9" s="6"/>
      <c r="BD9" s="6"/>
      <c r="BE9" s="148"/>
      <c r="BF9" s="6"/>
      <c r="BG9" s="6"/>
      <c r="BH9" s="612" t="s">
        <v>140</v>
      </c>
      <c r="BI9" s="613"/>
      <c r="BJ9" s="613"/>
      <c r="BK9" s="167"/>
      <c r="BL9" s="167"/>
      <c r="BM9" s="168"/>
      <c r="BN9" s="6"/>
      <c r="BO9" s="6"/>
      <c r="BP9" s="148"/>
      <c r="BQ9" s="6"/>
      <c r="BR9" s="6"/>
      <c r="BS9" s="502" t="s">
        <v>140</v>
      </c>
      <c r="BT9" s="503"/>
      <c r="BU9" s="503"/>
      <c r="BV9" s="169"/>
      <c r="BW9" s="169"/>
      <c r="BX9" s="170"/>
      <c r="BY9" s="6"/>
      <c r="BZ9" s="6"/>
      <c r="CA9" s="148"/>
    </row>
    <row r="10" spans="1:79" ht="12.5">
      <c r="A10" s="148"/>
      <c r="B10" s="6"/>
      <c r="C10" s="6"/>
      <c r="D10" s="171">
        <v>1</v>
      </c>
      <c r="E10" s="486" t="s">
        <v>141</v>
      </c>
      <c r="F10" s="487"/>
      <c r="G10" s="172">
        <v>500000</v>
      </c>
      <c r="H10" s="172">
        <v>1000000</v>
      </c>
      <c r="I10" s="173">
        <v>3000000</v>
      </c>
      <c r="J10" s="6"/>
      <c r="K10" s="6"/>
      <c r="L10" s="148"/>
      <c r="M10" s="148"/>
      <c r="N10" s="6"/>
      <c r="O10" s="6"/>
      <c r="P10" s="174">
        <v>1</v>
      </c>
      <c r="Q10" s="532" t="s">
        <v>141</v>
      </c>
      <c r="R10" s="533"/>
      <c r="S10" s="175">
        <v>250000</v>
      </c>
      <c r="T10" s="175">
        <v>500000</v>
      </c>
      <c r="U10" s="30">
        <v>1250000</v>
      </c>
      <c r="V10" s="176">
        <f>U10*12</f>
        <v>15000000</v>
      </c>
      <c r="W10" s="6"/>
      <c r="X10" s="148"/>
      <c r="Y10" s="6"/>
      <c r="Z10" s="6"/>
      <c r="AA10" s="177">
        <v>1</v>
      </c>
      <c r="AB10" s="488" t="s">
        <v>141</v>
      </c>
      <c r="AC10" s="489"/>
      <c r="AD10" s="178">
        <v>250000</v>
      </c>
      <c r="AE10" s="178">
        <v>500000</v>
      </c>
      <c r="AF10" s="179">
        <v>1250000</v>
      </c>
      <c r="AG10" s="6"/>
      <c r="AH10" s="6"/>
      <c r="AI10" s="148"/>
      <c r="AJ10" s="6"/>
      <c r="AK10" s="6"/>
      <c r="AL10" s="180">
        <v>1</v>
      </c>
      <c r="AM10" s="512" t="s">
        <v>141</v>
      </c>
      <c r="AN10" s="513"/>
      <c r="AO10" s="181">
        <v>250000</v>
      </c>
      <c r="AP10" s="181">
        <v>500000</v>
      </c>
      <c r="AQ10" s="182">
        <v>1250000</v>
      </c>
      <c r="AR10" s="6"/>
      <c r="AS10" s="6"/>
      <c r="AT10" s="148"/>
      <c r="AU10" s="6"/>
      <c r="AV10" s="6"/>
      <c r="AW10" s="183">
        <v>1</v>
      </c>
      <c r="AX10" s="490" t="s">
        <v>141</v>
      </c>
      <c r="AY10" s="491"/>
      <c r="AZ10" s="184">
        <v>500000</v>
      </c>
      <c r="BA10" s="184">
        <v>1000000</v>
      </c>
      <c r="BB10" s="185">
        <v>3000000</v>
      </c>
      <c r="BC10" s="6"/>
      <c r="BD10" s="6"/>
      <c r="BE10" s="148"/>
      <c r="BF10" s="6"/>
      <c r="BG10" s="6"/>
      <c r="BH10" s="186">
        <v>1</v>
      </c>
      <c r="BI10" s="490" t="s">
        <v>141</v>
      </c>
      <c r="BJ10" s="491"/>
      <c r="BK10" s="184">
        <v>250000</v>
      </c>
      <c r="BL10" s="184">
        <v>500000</v>
      </c>
      <c r="BM10" s="187">
        <v>1250000</v>
      </c>
      <c r="BN10" s="6"/>
      <c r="BO10" s="6"/>
      <c r="BP10" s="148"/>
      <c r="BQ10" s="6"/>
      <c r="BR10" s="6"/>
      <c r="BS10" s="188">
        <v>1</v>
      </c>
      <c r="BT10" s="492" t="s">
        <v>141</v>
      </c>
      <c r="BU10" s="493"/>
      <c r="BV10" s="189">
        <v>500000</v>
      </c>
      <c r="BW10" s="189">
        <v>1000000</v>
      </c>
      <c r="BX10" s="190">
        <v>3000000</v>
      </c>
      <c r="BY10" s="6"/>
      <c r="BZ10" s="6"/>
      <c r="CA10" s="148"/>
    </row>
    <row r="11" spans="1:79" ht="12.5">
      <c r="A11" s="148"/>
      <c r="B11" s="6"/>
      <c r="C11" s="6"/>
      <c r="D11" s="191">
        <v>2</v>
      </c>
      <c r="E11" s="494" t="s">
        <v>65</v>
      </c>
      <c r="F11" s="495"/>
      <c r="G11" s="192">
        <v>1000</v>
      </c>
      <c r="H11" s="192">
        <v>3000</v>
      </c>
      <c r="I11" s="193">
        <v>10000</v>
      </c>
      <c r="J11" s="6"/>
      <c r="K11" s="6"/>
      <c r="L11" s="148"/>
      <c r="M11" s="148"/>
      <c r="N11" s="6"/>
      <c r="O11" s="6"/>
      <c r="P11" s="194">
        <v>2</v>
      </c>
      <c r="Q11" s="534" t="s">
        <v>65</v>
      </c>
      <c r="R11" s="499"/>
      <c r="S11" s="195">
        <v>500</v>
      </c>
      <c r="T11" s="195">
        <v>1500</v>
      </c>
      <c r="U11" s="196">
        <v>5000</v>
      </c>
      <c r="V11" s="6">
        <v>153000000</v>
      </c>
      <c r="W11" s="6"/>
      <c r="X11" s="148"/>
      <c r="Y11" s="6"/>
      <c r="Z11" s="6"/>
      <c r="AA11" s="197">
        <v>2</v>
      </c>
      <c r="AB11" s="496" t="s">
        <v>65</v>
      </c>
      <c r="AC11" s="497"/>
      <c r="AD11" s="198">
        <v>2500</v>
      </c>
      <c r="AE11" s="198">
        <v>5000</v>
      </c>
      <c r="AF11" s="199">
        <v>12500</v>
      </c>
      <c r="AG11" s="6"/>
      <c r="AH11" s="6"/>
      <c r="AI11" s="148"/>
      <c r="AJ11" s="6"/>
      <c r="AK11" s="6"/>
      <c r="AL11" s="180">
        <v>2</v>
      </c>
      <c r="AM11" s="512" t="s">
        <v>142</v>
      </c>
      <c r="AN11" s="513"/>
      <c r="AO11" s="181">
        <v>1000</v>
      </c>
      <c r="AP11" s="181">
        <v>2000</v>
      </c>
      <c r="AQ11" s="182">
        <v>5000</v>
      </c>
      <c r="AR11" s="6"/>
      <c r="AS11" s="6"/>
      <c r="AT11" s="148"/>
      <c r="AU11" s="6"/>
      <c r="AV11" s="6"/>
      <c r="AW11" s="183">
        <v>2</v>
      </c>
      <c r="AX11" s="490" t="s">
        <v>72</v>
      </c>
      <c r="AY11" s="491"/>
      <c r="AZ11" s="200">
        <v>200</v>
      </c>
      <c r="BA11" s="200">
        <v>400</v>
      </c>
      <c r="BB11" s="201">
        <v>1000</v>
      </c>
      <c r="BC11" s="6"/>
      <c r="BD11" s="6"/>
      <c r="BE11" s="148"/>
      <c r="BF11" s="6"/>
      <c r="BG11" s="6"/>
      <c r="BH11" s="186">
        <v>2</v>
      </c>
      <c r="BI11" s="490" t="s">
        <v>70</v>
      </c>
      <c r="BJ11" s="491"/>
      <c r="BK11" s="202">
        <v>2</v>
      </c>
      <c r="BL11" s="202">
        <v>5</v>
      </c>
      <c r="BM11" s="203" t="s">
        <v>71</v>
      </c>
      <c r="BN11" s="6"/>
      <c r="BO11" s="6"/>
      <c r="BP11" s="148"/>
      <c r="BQ11" s="6"/>
      <c r="BR11" s="6"/>
      <c r="BS11" s="188">
        <v>2</v>
      </c>
      <c r="BT11" s="492" t="s">
        <v>76</v>
      </c>
      <c r="BU11" s="493"/>
      <c r="BV11" s="189">
        <v>1000</v>
      </c>
      <c r="BW11" s="189">
        <v>3000</v>
      </c>
      <c r="BX11" s="190">
        <v>10000</v>
      </c>
      <c r="BY11" s="6"/>
      <c r="BZ11" s="6"/>
      <c r="CA11" s="148"/>
    </row>
    <row r="12" spans="1:79" ht="12.5">
      <c r="A12" s="148"/>
      <c r="B12" s="6"/>
      <c r="C12" s="6"/>
      <c r="D12" s="204">
        <v>3</v>
      </c>
      <c r="E12" s="506" t="s">
        <v>143</v>
      </c>
      <c r="F12" s="507"/>
      <c r="G12" s="205">
        <v>2</v>
      </c>
      <c r="H12" s="205">
        <v>5</v>
      </c>
      <c r="I12" s="206">
        <v>10</v>
      </c>
      <c r="J12" s="6"/>
      <c r="K12" s="6"/>
      <c r="L12" s="148"/>
      <c r="M12" s="148"/>
      <c r="N12" s="6"/>
      <c r="O12" s="6"/>
      <c r="P12" s="207">
        <v>3</v>
      </c>
      <c r="Q12" s="535" t="s">
        <v>143</v>
      </c>
      <c r="R12" s="536"/>
      <c r="S12" s="208">
        <v>2</v>
      </c>
      <c r="T12" s="208">
        <v>5</v>
      </c>
      <c r="U12" s="209">
        <v>10</v>
      </c>
      <c r="V12" s="176">
        <f>V11+V10</f>
        <v>168000000</v>
      </c>
      <c r="W12" s="6"/>
      <c r="X12" s="148"/>
      <c r="Y12" s="6"/>
      <c r="Z12" s="6"/>
      <c r="AA12" s="210">
        <v>3</v>
      </c>
      <c r="AB12" s="537" t="s">
        <v>143</v>
      </c>
      <c r="AC12" s="538"/>
      <c r="AD12" s="211">
        <v>2</v>
      </c>
      <c r="AE12" s="211">
        <v>5</v>
      </c>
      <c r="AF12" s="212">
        <v>10</v>
      </c>
      <c r="AG12" s="6"/>
      <c r="AH12" s="6"/>
      <c r="AI12" s="148"/>
      <c r="AJ12" s="6"/>
      <c r="AK12" s="6"/>
      <c r="AL12" s="180">
        <v>3</v>
      </c>
      <c r="AM12" s="512" t="s">
        <v>144</v>
      </c>
      <c r="AN12" s="513"/>
      <c r="AO12" s="181">
        <v>3000</v>
      </c>
      <c r="AP12" s="181">
        <v>6000</v>
      </c>
      <c r="AQ12" s="182">
        <v>15000</v>
      </c>
      <c r="AR12" s="6"/>
      <c r="AS12" s="6"/>
      <c r="AT12" s="148"/>
      <c r="AU12" s="6"/>
      <c r="AV12" s="6"/>
      <c r="AW12" s="213">
        <v>3</v>
      </c>
      <c r="AX12" s="514" t="s">
        <v>74</v>
      </c>
      <c r="AY12" s="515"/>
      <c r="AZ12" s="214" t="s">
        <v>58</v>
      </c>
      <c r="BA12" s="214">
        <v>360</v>
      </c>
      <c r="BB12" s="215">
        <v>900</v>
      </c>
      <c r="BC12" s="6"/>
      <c r="BD12" s="6"/>
      <c r="BE12" s="148"/>
      <c r="BF12" s="6"/>
      <c r="BG12" s="6"/>
      <c r="BH12" s="216">
        <v>3</v>
      </c>
      <c r="BI12" s="528" t="s">
        <v>73</v>
      </c>
      <c r="BJ12" s="529"/>
      <c r="BK12" s="217">
        <v>10</v>
      </c>
      <c r="BL12" s="217">
        <v>20</v>
      </c>
      <c r="BM12" s="218" t="s">
        <v>71</v>
      </c>
      <c r="BN12" s="6"/>
      <c r="BO12" s="6"/>
      <c r="BP12" s="148"/>
      <c r="BQ12" s="6"/>
      <c r="BR12" s="6"/>
      <c r="BS12" s="219">
        <v>3</v>
      </c>
      <c r="BT12" s="500" t="s">
        <v>78</v>
      </c>
      <c r="BU12" s="501"/>
      <c r="BV12" s="220">
        <v>3</v>
      </c>
      <c r="BW12" s="220">
        <v>5</v>
      </c>
      <c r="BX12" s="221" t="s">
        <v>71</v>
      </c>
      <c r="BY12" s="6"/>
      <c r="BZ12" s="6"/>
      <c r="CA12" s="148"/>
    </row>
    <row r="13" spans="1:79" ht="12.5">
      <c r="A13" s="148"/>
      <c r="B13" s="6"/>
      <c r="C13" s="6"/>
      <c r="D13" s="222"/>
      <c r="E13" s="223"/>
      <c r="F13" s="223"/>
      <c r="G13" s="224"/>
      <c r="H13" s="224"/>
      <c r="I13" s="224"/>
      <c r="J13" s="6"/>
      <c r="K13" s="6"/>
      <c r="L13" s="148"/>
      <c r="M13" s="148"/>
      <c r="N13" s="6"/>
      <c r="O13" s="6"/>
      <c r="P13" s="222"/>
      <c r="Q13" s="223"/>
      <c r="R13" s="223"/>
      <c r="S13" s="224"/>
      <c r="T13" s="224"/>
      <c r="U13" s="224"/>
      <c r="V13" s="176">
        <f>V12-V12*30%</f>
        <v>117600000</v>
      </c>
      <c r="W13" s="6"/>
      <c r="X13" s="148"/>
      <c r="Y13" s="6"/>
      <c r="Z13" s="6"/>
      <c r="AA13" s="222"/>
      <c r="AB13" s="223"/>
      <c r="AC13" s="223"/>
      <c r="AD13" s="224"/>
      <c r="AE13" s="224"/>
      <c r="AF13" s="224"/>
      <c r="AG13" s="6"/>
      <c r="AH13" s="6"/>
      <c r="AI13" s="148"/>
      <c r="AJ13" s="6"/>
      <c r="AK13" s="6"/>
      <c r="AL13" s="225">
        <v>4</v>
      </c>
      <c r="AM13" s="516" t="s">
        <v>143</v>
      </c>
      <c r="AN13" s="517"/>
      <c r="AO13" s="226">
        <v>2</v>
      </c>
      <c r="AP13" s="226">
        <v>5</v>
      </c>
      <c r="AQ13" s="227">
        <v>10</v>
      </c>
      <c r="AR13" s="6"/>
      <c r="AS13" s="6"/>
      <c r="AT13" s="148"/>
      <c r="AU13" s="6"/>
      <c r="AV13" s="6"/>
      <c r="AW13" s="6"/>
      <c r="AX13" s="6"/>
      <c r="AY13" s="6"/>
      <c r="AZ13" s="6"/>
      <c r="BA13" s="6"/>
      <c r="BB13" s="6"/>
      <c r="BC13" s="6"/>
      <c r="BD13" s="6"/>
      <c r="BE13" s="148"/>
      <c r="BF13" s="6"/>
      <c r="BG13" s="6"/>
      <c r="BH13" s="6"/>
      <c r="BI13" s="6"/>
      <c r="BJ13" s="6"/>
      <c r="BK13" s="6"/>
      <c r="BL13" s="6"/>
      <c r="BM13" s="6"/>
      <c r="BN13" s="6"/>
      <c r="BO13" s="6"/>
      <c r="BP13" s="148"/>
      <c r="BQ13" s="6"/>
      <c r="BR13" s="6"/>
      <c r="BS13" s="6"/>
      <c r="BT13" s="6"/>
      <c r="BU13" s="6"/>
      <c r="BV13" s="6"/>
      <c r="BW13" s="6"/>
      <c r="BX13" s="6"/>
      <c r="BY13" s="6"/>
      <c r="BZ13" s="6"/>
      <c r="CA13" s="148"/>
    </row>
    <row r="14" spans="1:79" ht="12.5">
      <c r="A14" s="148"/>
      <c r="B14" s="6"/>
      <c r="C14" s="6"/>
      <c r="D14" s="6"/>
      <c r="E14" s="6"/>
      <c r="F14" s="6"/>
      <c r="G14" s="6"/>
      <c r="H14" s="6"/>
      <c r="I14" s="6"/>
      <c r="J14" s="6"/>
      <c r="K14" s="6"/>
      <c r="L14" s="148"/>
      <c r="M14" s="148"/>
      <c r="N14" s="6"/>
      <c r="O14" s="6"/>
      <c r="P14" s="6"/>
      <c r="Q14" s="6"/>
      <c r="R14" s="6"/>
      <c r="S14" s="6"/>
      <c r="T14" s="6"/>
      <c r="U14" s="6"/>
      <c r="V14" s="6"/>
      <c r="W14" s="6"/>
      <c r="X14" s="148"/>
      <c r="Y14" s="6"/>
      <c r="Z14" s="6"/>
      <c r="AA14" s="6"/>
      <c r="AB14" s="6"/>
      <c r="AC14" s="6"/>
      <c r="AD14" s="6"/>
      <c r="AE14" s="6"/>
      <c r="AF14" s="6"/>
      <c r="AG14" s="6"/>
      <c r="AH14" s="6"/>
      <c r="AI14" s="148"/>
      <c r="AJ14" s="6"/>
      <c r="AK14" s="6"/>
      <c r="AL14" s="6"/>
      <c r="AM14" s="6"/>
      <c r="AN14" s="6"/>
      <c r="AO14" s="6"/>
      <c r="AP14" s="6"/>
      <c r="AQ14" s="6"/>
      <c r="AR14" s="6"/>
      <c r="AS14" s="6"/>
      <c r="AT14" s="148"/>
      <c r="AU14" s="6"/>
      <c r="AV14" s="6"/>
      <c r="AW14" s="6"/>
      <c r="AX14" s="6"/>
      <c r="AY14" s="6"/>
      <c r="AZ14" s="6"/>
      <c r="BA14" s="6"/>
      <c r="BB14" s="6"/>
      <c r="BC14" s="6"/>
      <c r="BD14" s="6"/>
      <c r="BE14" s="148"/>
      <c r="BF14" s="6"/>
      <c r="BG14" s="6"/>
      <c r="BH14" s="6"/>
      <c r="BI14" s="6"/>
      <c r="BJ14" s="6"/>
      <c r="BK14" s="6"/>
      <c r="BL14" s="6"/>
      <c r="BM14" s="6"/>
      <c r="BN14" s="6"/>
      <c r="BO14" s="6"/>
      <c r="BP14" s="148"/>
      <c r="BQ14" s="6"/>
      <c r="BR14" s="6"/>
      <c r="BS14" s="6"/>
      <c r="BT14" s="6"/>
      <c r="BU14" s="6"/>
      <c r="BV14" s="6"/>
      <c r="BW14" s="6"/>
      <c r="BX14" s="6"/>
      <c r="BY14" s="6"/>
      <c r="BZ14" s="6"/>
      <c r="CA14" s="148"/>
    </row>
    <row r="15" spans="1:79" ht="37.5" customHeight="1">
      <c r="A15" s="148"/>
      <c r="B15" s="6"/>
      <c r="C15" s="6"/>
      <c r="D15" s="508" t="s">
        <v>145</v>
      </c>
      <c r="E15" s="509"/>
      <c r="F15" s="509"/>
      <c r="G15" s="157"/>
      <c r="H15" s="157"/>
      <c r="I15" s="158"/>
      <c r="J15" s="6"/>
      <c r="K15" s="6"/>
      <c r="L15" s="148"/>
      <c r="M15" s="148"/>
      <c r="N15" s="6"/>
      <c r="O15" s="6"/>
      <c r="P15" s="539" t="s">
        <v>146</v>
      </c>
      <c r="Q15" s="540"/>
      <c r="R15" s="540"/>
      <c r="S15" s="159"/>
      <c r="T15" s="159"/>
      <c r="U15" s="160"/>
      <c r="V15" s="6"/>
      <c r="W15" s="6"/>
      <c r="X15" s="148"/>
      <c r="Y15" s="6"/>
      <c r="Z15" s="6"/>
      <c r="AA15" s="541" t="s">
        <v>147</v>
      </c>
      <c r="AB15" s="542"/>
      <c r="AC15" s="542"/>
      <c r="AD15" s="161"/>
      <c r="AE15" s="161"/>
      <c r="AF15" s="162"/>
      <c r="AG15" s="6"/>
      <c r="AH15" s="6"/>
      <c r="AI15" s="148"/>
      <c r="AJ15" s="6"/>
      <c r="AK15" s="6"/>
      <c r="AL15" s="518" t="s">
        <v>148</v>
      </c>
      <c r="AM15" s="519"/>
      <c r="AN15" s="519"/>
      <c r="AO15" s="163"/>
      <c r="AP15" s="163"/>
      <c r="AQ15" s="164"/>
      <c r="AR15" s="6"/>
      <c r="AS15" s="6"/>
      <c r="AT15" s="148"/>
      <c r="AU15" s="6"/>
      <c r="AV15" s="6"/>
      <c r="AW15" s="524" t="s">
        <v>149</v>
      </c>
      <c r="AX15" s="525"/>
      <c r="AY15" s="525"/>
      <c r="AZ15" s="165"/>
      <c r="BA15" s="165"/>
      <c r="BB15" s="166"/>
      <c r="BC15" s="6"/>
      <c r="BD15" s="6"/>
      <c r="BE15" s="148"/>
      <c r="BF15" s="6"/>
      <c r="BG15" s="6"/>
      <c r="BH15" s="530" t="s">
        <v>150</v>
      </c>
      <c r="BI15" s="531"/>
      <c r="BJ15" s="531"/>
      <c r="BK15" s="228"/>
      <c r="BL15" s="228"/>
      <c r="BM15" s="229"/>
      <c r="BN15" s="6"/>
      <c r="BO15" s="6"/>
      <c r="BP15" s="148"/>
      <c r="BQ15" s="6"/>
      <c r="BR15" s="6"/>
      <c r="BS15" s="502" t="s">
        <v>151</v>
      </c>
      <c r="BT15" s="503"/>
      <c r="BU15" s="503"/>
      <c r="BV15" s="169"/>
      <c r="BW15" s="169"/>
      <c r="BX15" s="170"/>
      <c r="BY15" s="6"/>
      <c r="BZ15" s="6"/>
      <c r="CA15" s="148"/>
    </row>
    <row r="16" spans="1:79" ht="12.5">
      <c r="A16" s="148"/>
      <c r="B16" s="6"/>
      <c r="C16" s="6"/>
      <c r="D16" s="230">
        <v>1</v>
      </c>
      <c r="E16" s="510" t="s">
        <v>152</v>
      </c>
      <c r="F16" s="487"/>
      <c r="G16" s="231" t="b">
        <v>1</v>
      </c>
      <c r="H16" s="231" t="b">
        <v>1</v>
      </c>
      <c r="I16" s="232" t="b">
        <v>1</v>
      </c>
      <c r="J16" s="6"/>
      <c r="K16" s="6"/>
      <c r="L16" s="148"/>
      <c r="M16" s="148"/>
      <c r="N16" s="6"/>
      <c r="O16" s="6"/>
      <c r="P16" s="233">
        <v>1</v>
      </c>
      <c r="Q16" s="544" t="s">
        <v>153</v>
      </c>
      <c r="R16" s="533"/>
      <c r="S16" s="234" t="b">
        <v>1</v>
      </c>
      <c r="T16" s="234" t="b">
        <v>1</v>
      </c>
      <c r="U16" s="235" t="b">
        <v>1</v>
      </c>
      <c r="V16" s="6"/>
      <c r="W16" s="6"/>
      <c r="X16" s="148"/>
      <c r="Y16" s="6"/>
      <c r="Z16" s="6"/>
      <c r="AA16" s="177">
        <v>1</v>
      </c>
      <c r="AB16" s="543" t="s">
        <v>154</v>
      </c>
      <c r="AC16" s="489"/>
      <c r="AD16" s="236" t="b">
        <v>1</v>
      </c>
      <c r="AE16" s="236" t="b">
        <v>1</v>
      </c>
      <c r="AF16" s="237" t="b">
        <v>1</v>
      </c>
      <c r="AG16" s="6"/>
      <c r="AH16" s="6"/>
      <c r="AI16" s="148"/>
      <c r="AJ16" s="6"/>
      <c r="AK16" s="6"/>
      <c r="AL16" s="238">
        <v>1</v>
      </c>
      <c r="AM16" s="520" t="s">
        <v>155</v>
      </c>
      <c r="AN16" s="521"/>
      <c r="AO16" s="239" t="b">
        <v>1</v>
      </c>
      <c r="AP16" s="239" t="b">
        <v>1</v>
      </c>
      <c r="AQ16" s="240" t="b">
        <v>1</v>
      </c>
      <c r="AR16" s="6"/>
      <c r="AS16" s="6"/>
      <c r="AT16" s="148"/>
      <c r="AU16" s="6"/>
      <c r="AV16" s="6"/>
      <c r="AW16" s="241">
        <v>1</v>
      </c>
      <c r="AX16" s="545" t="s">
        <v>156</v>
      </c>
      <c r="AY16" s="546"/>
      <c r="AZ16" s="242" t="b">
        <v>1</v>
      </c>
      <c r="BA16" s="242" t="b">
        <v>1</v>
      </c>
      <c r="BB16" s="243" t="b">
        <v>1</v>
      </c>
      <c r="BC16" s="6"/>
      <c r="BD16" s="6"/>
      <c r="BE16" s="148"/>
      <c r="BF16" s="6"/>
      <c r="BG16" s="6"/>
      <c r="BH16" s="244">
        <v>1</v>
      </c>
      <c r="BI16" s="504" t="s">
        <v>157</v>
      </c>
      <c r="BJ16" s="505"/>
      <c r="BK16" s="245" t="b">
        <v>1</v>
      </c>
      <c r="BL16" s="245" t="b">
        <v>1</v>
      </c>
      <c r="BM16" s="246" t="b">
        <v>1</v>
      </c>
      <c r="BN16" s="6"/>
      <c r="BO16" s="6"/>
      <c r="BP16" s="148"/>
      <c r="BQ16" s="6"/>
      <c r="BR16" s="6"/>
      <c r="BS16" s="247">
        <v>1</v>
      </c>
      <c r="BT16" s="504" t="s">
        <v>158</v>
      </c>
      <c r="BU16" s="505"/>
      <c r="BV16" s="248" t="b">
        <v>1</v>
      </c>
      <c r="BW16" s="248" t="b">
        <v>1</v>
      </c>
      <c r="BX16" s="249" t="b">
        <v>1</v>
      </c>
      <c r="BY16" s="6"/>
      <c r="BZ16" s="6"/>
      <c r="CA16" s="148"/>
    </row>
    <row r="17" spans="1:79" ht="29.25" customHeight="1">
      <c r="A17" s="148"/>
      <c r="B17" s="6"/>
      <c r="C17" s="6"/>
      <c r="D17" s="230">
        <v>2</v>
      </c>
      <c r="E17" s="511" t="s">
        <v>159</v>
      </c>
      <c r="F17" s="495"/>
      <c r="G17" s="250" t="b">
        <v>1</v>
      </c>
      <c r="H17" s="250" t="b">
        <v>1</v>
      </c>
      <c r="I17" s="251" t="b">
        <v>1</v>
      </c>
      <c r="J17" s="6"/>
      <c r="K17" s="6"/>
      <c r="L17" s="148"/>
      <c r="M17" s="148"/>
      <c r="N17" s="6"/>
      <c r="O17" s="6"/>
      <c r="P17" s="233">
        <v>2</v>
      </c>
      <c r="Q17" s="498" t="s">
        <v>160</v>
      </c>
      <c r="R17" s="499"/>
      <c r="S17" s="252" t="b">
        <v>1</v>
      </c>
      <c r="T17" s="252" t="b">
        <v>1</v>
      </c>
      <c r="U17" s="253" t="b">
        <v>1</v>
      </c>
      <c r="V17" s="6"/>
      <c r="W17" s="6"/>
      <c r="X17" s="148"/>
      <c r="Y17" s="6"/>
      <c r="Z17" s="6"/>
      <c r="AA17" s="197">
        <v>2</v>
      </c>
      <c r="AB17" s="522" t="s">
        <v>161</v>
      </c>
      <c r="AC17" s="497"/>
      <c r="AD17" s="254" t="b">
        <v>1</v>
      </c>
      <c r="AE17" s="254" t="b">
        <v>1</v>
      </c>
      <c r="AF17" s="255" t="b">
        <v>1</v>
      </c>
      <c r="AG17" s="6"/>
      <c r="AH17" s="6"/>
      <c r="AI17" s="148"/>
      <c r="AJ17" s="6"/>
      <c r="AK17" s="6"/>
      <c r="AL17" s="180">
        <v>2</v>
      </c>
      <c r="AM17" s="523" t="s">
        <v>162</v>
      </c>
      <c r="AN17" s="513"/>
      <c r="AO17" s="256" t="b">
        <v>1</v>
      </c>
      <c r="AP17" s="256" t="b">
        <v>1</v>
      </c>
      <c r="AQ17" s="257" t="b">
        <v>1</v>
      </c>
      <c r="AR17" s="6"/>
      <c r="AS17" s="6"/>
      <c r="AT17" s="148"/>
      <c r="AU17" s="6"/>
      <c r="AV17" s="6"/>
      <c r="AW17" s="6"/>
      <c r="AX17" s="6"/>
      <c r="AY17" s="6"/>
      <c r="AZ17" s="6"/>
      <c r="BA17" s="6"/>
      <c r="BB17" s="6"/>
      <c r="BC17" s="6"/>
      <c r="BD17" s="6"/>
      <c r="BE17" s="148"/>
      <c r="BF17" s="6"/>
      <c r="BG17" s="6"/>
      <c r="BH17" s="258">
        <v>2</v>
      </c>
      <c r="BI17" s="599" t="s">
        <v>163</v>
      </c>
      <c r="BJ17" s="600"/>
      <c r="BK17" s="259" t="b">
        <v>1</v>
      </c>
      <c r="BL17" s="259" t="b">
        <v>1</v>
      </c>
      <c r="BM17" s="260" t="b">
        <v>1</v>
      </c>
      <c r="BN17" s="6"/>
      <c r="BO17" s="6"/>
      <c r="BP17" s="148"/>
      <c r="BQ17" s="6"/>
      <c r="BR17" s="6"/>
      <c r="BS17" s="261">
        <v>2</v>
      </c>
      <c r="BT17" s="599" t="s">
        <v>164</v>
      </c>
      <c r="BU17" s="600"/>
      <c r="BV17" s="262" t="b">
        <v>1</v>
      </c>
      <c r="BW17" s="262" t="b">
        <v>1</v>
      </c>
      <c r="BX17" s="263" t="b">
        <v>1</v>
      </c>
      <c r="BY17" s="6"/>
      <c r="BZ17" s="6"/>
      <c r="CA17" s="148"/>
    </row>
    <row r="18" spans="1:79" ht="22.5" customHeight="1">
      <c r="A18" s="148"/>
      <c r="B18" s="6"/>
      <c r="C18" s="6"/>
      <c r="D18" s="230">
        <v>3</v>
      </c>
      <c r="E18" s="510" t="s">
        <v>165</v>
      </c>
      <c r="F18" s="487"/>
      <c r="G18" s="250" t="b">
        <v>1</v>
      </c>
      <c r="H18" s="250" t="b">
        <v>1</v>
      </c>
      <c r="I18" s="251" t="b">
        <v>1</v>
      </c>
      <c r="J18" s="6"/>
      <c r="K18" s="6"/>
      <c r="L18" s="148"/>
      <c r="M18" s="148"/>
      <c r="N18" s="6"/>
      <c r="O18" s="6"/>
      <c r="P18" s="233">
        <v>3</v>
      </c>
      <c r="Q18" s="498" t="s">
        <v>166</v>
      </c>
      <c r="R18" s="499"/>
      <c r="S18" s="252" t="b">
        <v>1</v>
      </c>
      <c r="T18" s="252" t="b">
        <v>1</v>
      </c>
      <c r="U18" s="253" t="b">
        <v>1</v>
      </c>
      <c r="V18" s="6"/>
      <c r="W18" s="6"/>
      <c r="X18" s="148"/>
      <c r="Y18" s="6"/>
      <c r="Z18" s="6"/>
      <c r="AA18" s="197">
        <v>3</v>
      </c>
      <c r="AB18" s="522" t="s">
        <v>167</v>
      </c>
      <c r="AC18" s="497"/>
      <c r="AD18" s="254" t="b">
        <v>1</v>
      </c>
      <c r="AE18" s="254" t="b">
        <v>1</v>
      </c>
      <c r="AF18" s="255" t="b">
        <v>1</v>
      </c>
      <c r="AG18" s="6"/>
      <c r="AH18" s="6"/>
      <c r="AI18" s="148"/>
      <c r="AJ18" s="6"/>
      <c r="AK18" s="6"/>
      <c r="AL18" s="180">
        <v>3</v>
      </c>
      <c r="AM18" s="523" t="s">
        <v>168</v>
      </c>
      <c r="AN18" s="513"/>
      <c r="AO18" s="256" t="b">
        <v>1</v>
      </c>
      <c r="AP18" s="256" t="b">
        <v>1</v>
      </c>
      <c r="AQ18" s="257" t="b">
        <v>1</v>
      </c>
      <c r="AR18" s="6"/>
      <c r="AS18" s="6"/>
      <c r="AT18" s="148"/>
      <c r="AU18" s="6"/>
      <c r="AV18" s="6"/>
      <c r="AW18" s="524" t="s">
        <v>169</v>
      </c>
      <c r="AX18" s="525"/>
      <c r="AY18" s="525"/>
      <c r="AZ18" s="165"/>
      <c r="BA18" s="165"/>
      <c r="BB18" s="166"/>
      <c r="BC18" s="6"/>
      <c r="BD18" s="6"/>
      <c r="BE18" s="148"/>
      <c r="BF18" s="6"/>
      <c r="BG18" s="6"/>
      <c r="BH18" s="264">
        <v>3</v>
      </c>
      <c r="BI18" s="601" t="s">
        <v>170</v>
      </c>
      <c r="BJ18" s="602"/>
      <c r="BK18" s="265" t="b">
        <v>1</v>
      </c>
      <c r="BL18" s="265" t="b">
        <v>1</v>
      </c>
      <c r="BM18" s="266" t="b">
        <v>1</v>
      </c>
      <c r="BN18" s="6"/>
      <c r="BO18" s="6"/>
      <c r="BP18" s="148"/>
      <c r="BQ18" s="6"/>
      <c r="BR18" s="6"/>
      <c r="BS18" s="261">
        <v>3</v>
      </c>
      <c r="BT18" s="599" t="s">
        <v>171</v>
      </c>
      <c r="BU18" s="600"/>
      <c r="BV18" s="262" t="b">
        <v>1</v>
      </c>
      <c r="BW18" s="262" t="b">
        <v>1</v>
      </c>
      <c r="BX18" s="263" t="b">
        <v>1</v>
      </c>
      <c r="BY18" s="6"/>
      <c r="BZ18" s="6"/>
      <c r="CA18" s="148"/>
    </row>
    <row r="19" spans="1:79" ht="22.5" customHeight="1">
      <c r="A19" s="148"/>
      <c r="B19" s="6"/>
      <c r="C19" s="6"/>
      <c r="D19" s="230">
        <v>4</v>
      </c>
      <c r="E19" s="511" t="s">
        <v>172</v>
      </c>
      <c r="F19" s="495"/>
      <c r="G19" s="250" t="b">
        <v>1</v>
      </c>
      <c r="H19" s="250" t="b">
        <v>1</v>
      </c>
      <c r="I19" s="251" t="b">
        <v>1</v>
      </c>
      <c r="J19" s="6"/>
      <c r="K19" s="6"/>
      <c r="L19" s="148"/>
      <c r="M19" s="148"/>
      <c r="N19" s="6"/>
      <c r="O19" s="6"/>
      <c r="P19" s="233">
        <v>4</v>
      </c>
      <c r="Q19" s="498" t="s">
        <v>173</v>
      </c>
      <c r="R19" s="499"/>
      <c r="S19" s="252" t="b">
        <v>1</v>
      </c>
      <c r="T19" s="252" t="b">
        <v>1</v>
      </c>
      <c r="U19" s="253" t="b">
        <v>1</v>
      </c>
      <c r="V19" s="6"/>
      <c r="W19" s="6"/>
      <c r="X19" s="148"/>
      <c r="Y19" s="6"/>
      <c r="Z19" s="6"/>
      <c r="AA19" s="197">
        <v>4</v>
      </c>
      <c r="AB19" s="522" t="s">
        <v>174</v>
      </c>
      <c r="AC19" s="497"/>
      <c r="AD19" s="254" t="b">
        <v>1</v>
      </c>
      <c r="AE19" s="254" t="b">
        <v>1</v>
      </c>
      <c r="AF19" s="255" t="b">
        <v>1</v>
      </c>
      <c r="AG19" s="6"/>
      <c r="AH19" s="6"/>
      <c r="AI19" s="148"/>
      <c r="AJ19" s="6"/>
      <c r="AK19" s="6"/>
      <c r="AL19" s="180">
        <v>4</v>
      </c>
      <c r="AM19" s="523" t="s">
        <v>175</v>
      </c>
      <c r="AN19" s="513"/>
      <c r="AO19" s="256" t="b">
        <v>1</v>
      </c>
      <c r="AP19" s="256" t="b">
        <v>1</v>
      </c>
      <c r="AQ19" s="257" t="b">
        <v>1</v>
      </c>
      <c r="AR19" s="6"/>
      <c r="AS19" s="6"/>
      <c r="AT19" s="148"/>
      <c r="AU19" s="6"/>
      <c r="AV19" s="6"/>
      <c r="AW19" s="267">
        <v>1</v>
      </c>
      <c r="AX19" s="526" t="s">
        <v>176</v>
      </c>
      <c r="AY19" s="527"/>
      <c r="AZ19" s="268" t="b">
        <v>1</v>
      </c>
      <c r="BA19" s="268" t="b">
        <v>1</v>
      </c>
      <c r="BB19" s="269" t="b">
        <v>1</v>
      </c>
      <c r="BC19" s="6"/>
      <c r="BD19" s="6"/>
      <c r="BE19" s="148"/>
      <c r="BF19" s="6"/>
      <c r="BG19" s="6"/>
      <c r="BH19" s="6"/>
      <c r="BI19" s="6"/>
      <c r="BJ19" s="6"/>
      <c r="BK19" s="6"/>
      <c r="BL19" s="6"/>
      <c r="BM19" s="6"/>
      <c r="BN19" s="6"/>
      <c r="BO19" s="6"/>
      <c r="BP19" s="148"/>
      <c r="BQ19" s="6"/>
      <c r="BR19" s="6"/>
      <c r="BS19" s="261">
        <v>4</v>
      </c>
      <c r="BT19" s="599" t="s">
        <v>177</v>
      </c>
      <c r="BU19" s="600"/>
      <c r="BV19" s="262" t="b">
        <v>1</v>
      </c>
      <c r="BW19" s="262" t="b">
        <v>1</v>
      </c>
      <c r="BX19" s="263" t="b">
        <v>1</v>
      </c>
      <c r="BY19" s="6"/>
      <c r="BZ19" s="6"/>
      <c r="CA19" s="148"/>
    </row>
    <row r="20" spans="1:79" ht="22.5" customHeight="1">
      <c r="A20" s="148"/>
      <c r="B20" s="6"/>
      <c r="C20" s="6"/>
      <c r="D20" s="230">
        <v>5</v>
      </c>
      <c r="E20" s="510" t="s">
        <v>178</v>
      </c>
      <c r="F20" s="487"/>
      <c r="G20" s="250" t="b">
        <v>1</v>
      </c>
      <c r="H20" s="250" t="b">
        <v>1</v>
      </c>
      <c r="I20" s="251" t="b">
        <v>1</v>
      </c>
      <c r="J20" s="6"/>
      <c r="K20" s="6"/>
      <c r="L20" s="148"/>
      <c r="M20" s="148"/>
      <c r="N20" s="6"/>
      <c r="O20" s="6"/>
      <c r="P20" s="270">
        <v>5</v>
      </c>
      <c r="Q20" s="554" t="s">
        <v>179</v>
      </c>
      <c r="R20" s="536"/>
      <c r="S20" s="271" t="b">
        <v>1</v>
      </c>
      <c r="T20" s="271" t="b">
        <v>1</v>
      </c>
      <c r="U20" s="272" t="b">
        <v>1</v>
      </c>
      <c r="V20" s="6"/>
      <c r="W20" s="6"/>
      <c r="X20" s="148"/>
      <c r="Y20" s="6"/>
      <c r="Z20" s="6"/>
      <c r="AA20" s="197">
        <v>5</v>
      </c>
      <c r="AB20" s="522" t="s">
        <v>180</v>
      </c>
      <c r="AC20" s="497"/>
      <c r="AD20" s="254" t="b">
        <v>1</v>
      </c>
      <c r="AE20" s="254" t="b">
        <v>1</v>
      </c>
      <c r="AF20" s="255" t="b">
        <v>1</v>
      </c>
      <c r="AG20" s="6"/>
      <c r="AH20" s="6"/>
      <c r="AI20" s="148"/>
      <c r="AJ20" s="6"/>
      <c r="AK20" s="6"/>
      <c r="AL20" s="225">
        <v>5</v>
      </c>
      <c r="AM20" s="633" t="s">
        <v>181</v>
      </c>
      <c r="AN20" s="517"/>
      <c r="AO20" s="273" t="b">
        <v>1</v>
      </c>
      <c r="AP20" s="273" t="b">
        <v>1</v>
      </c>
      <c r="AQ20" s="274" t="b">
        <v>1</v>
      </c>
      <c r="AR20" s="6"/>
      <c r="AS20" s="6"/>
      <c r="AT20" s="148"/>
      <c r="AU20" s="6"/>
      <c r="AV20" s="6"/>
      <c r="AW20" s="183">
        <v>2</v>
      </c>
      <c r="AX20" s="560" t="s">
        <v>182</v>
      </c>
      <c r="AY20" s="491"/>
      <c r="AZ20" s="275" t="b">
        <v>1</v>
      </c>
      <c r="BA20" s="275" t="b">
        <v>1</v>
      </c>
      <c r="BB20" s="276" t="b">
        <v>1</v>
      </c>
      <c r="BC20" s="6"/>
      <c r="BD20" s="6"/>
      <c r="BE20" s="148"/>
      <c r="BF20" s="6"/>
      <c r="BG20" s="6"/>
      <c r="BH20" s="530" t="s">
        <v>183</v>
      </c>
      <c r="BI20" s="531"/>
      <c r="BJ20" s="531"/>
      <c r="BK20" s="228"/>
      <c r="BL20" s="228"/>
      <c r="BM20" s="229"/>
      <c r="BN20" s="6"/>
      <c r="BO20" s="6"/>
      <c r="BP20" s="148"/>
      <c r="BQ20" s="6"/>
      <c r="BR20" s="6"/>
      <c r="BS20" s="277">
        <v>5</v>
      </c>
      <c r="BT20" s="625" t="s">
        <v>184</v>
      </c>
      <c r="BU20" s="626"/>
      <c r="BV20" s="278" t="b">
        <v>1</v>
      </c>
      <c r="BW20" s="278" t="b">
        <v>1</v>
      </c>
      <c r="BX20" s="279" t="b">
        <v>1</v>
      </c>
      <c r="BY20" s="6"/>
      <c r="BZ20" s="6"/>
      <c r="CA20" s="148"/>
    </row>
    <row r="21" spans="1:79" ht="22.5" customHeight="1">
      <c r="A21" s="148"/>
      <c r="B21" s="6"/>
      <c r="C21" s="6"/>
      <c r="D21" s="230">
        <v>6</v>
      </c>
      <c r="E21" s="511" t="s">
        <v>185</v>
      </c>
      <c r="F21" s="495"/>
      <c r="G21" s="250" t="b">
        <v>1</v>
      </c>
      <c r="H21" s="250" t="b">
        <v>1</v>
      </c>
      <c r="I21" s="251" t="b">
        <v>1</v>
      </c>
      <c r="J21" s="6"/>
      <c r="K21" s="6"/>
      <c r="L21" s="148"/>
      <c r="M21" s="148"/>
      <c r="N21" s="6"/>
      <c r="O21" s="6"/>
      <c r="P21" s="6"/>
      <c r="Q21" s="6"/>
      <c r="R21" s="6"/>
      <c r="S21" s="6"/>
      <c r="T21" s="6"/>
      <c r="U21" s="6"/>
      <c r="V21" s="6"/>
      <c r="W21" s="6"/>
      <c r="X21" s="148"/>
      <c r="Y21" s="6"/>
      <c r="Z21" s="6"/>
      <c r="AA21" s="197">
        <v>6</v>
      </c>
      <c r="AB21" s="522" t="s">
        <v>186</v>
      </c>
      <c r="AC21" s="497"/>
      <c r="AD21" s="254" t="b">
        <v>1</v>
      </c>
      <c r="AE21" s="254" t="b">
        <v>1</v>
      </c>
      <c r="AF21" s="255" t="b">
        <v>1</v>
      </c>
      <c r="AG21" s="6"/>
      <c r="AH21" s="6"/>
      <c r="AI21" s="148"/>
      <c r="AJ21" s="6"/>
      <c r="AK21" s="6"/>
      <c r="AL21" s="6"/>
      <c r="AM21" s="6"/>
      <c r="AN21" s="6"/>
      <c r="AO21" s="6"/>
      <c r="AP21" s="6"/>
      <c r="AQ21" s="6"/>
      <c r="AR21" s="6"/>
      <c r="AS21" s="6"/>
      <c r="AT21" s="148"/>
      <c r="AU21" s="6"/>
      <c r="AV21" s="6"/>
      <c r="AW21" s="183">
        <v>3</v>
      </c>
      <c r="AX21" s="560" t="s">
        <v>187</v>
      </c>
      <c r="AY21" s="491"/>
      <c r="AZ21" s="275" t="b">
        <v>1</v>
      </c>
      <c r="BA21" s="275" t="b">
        <v>1</v>
      </c>
      <c r="BB21" s="276" t="b">
        <v>1</v>
      </c>
      <c r="BC21" s="6"/>
      <c r="BD21" s="6"/>
      <c r="BE21" s="148"/>
      <c r="BF21" s="6"/>
      <c r="BG21" s="6"/>
      <c r="BH21" s="244">
        <v>1</v>
      </c>
      <c r="BI21" s="504" t="s">
        <v>188</v>
      </c>
      <c r="BJ21" s="505"/>
      <c r="BK21" s="245" t="b">
        <v>1</v>
      </c>
      <c r="BL21" s="245" t="b">
        <v>1</v>
      </c>
      <c r="BM21" s="246" t="b">
        <v>1</v>
      </c>
      <c r="BN21" s="6"/>
      <c r="BO21" s="6"/>
      <c r="BP21" s="148"/>
      <c r="BQ21" s="6"/>
      <c r="BR21" s="6"/>
      <c r="BS21" s="6"/>
      <c r="BT21" s="6"/>
      <c r="BU21" s="6"/>
      <c r="BV21" s="6"/>
      <c r="BW21" s="6"/>
      <c r="BX21" s="6"/>
      <c r="BY21" s="6"/>
      <c r="BZ21" s="6"/>
      <c r="CA21" s="148"/>
    </row>
    <row r="22" spans="1:79" ht="22.5" customHeight="1">
      <c r="A22" s="148"/>
      <c r="B22" s="6"/>
      <c r="C22" s="6"/>
      <c r="D22" s="230">
        <v>7</v>
      </c>
      <c r="E22" s="510" t="s">
        <v>189</v>
      </c>
      <c r="F22" s="487"/>
      <c r="G22" s="250" t="b">
        <v>1</v>
      </c>
      <c r="H22" s="250" t="b">
        <v>1</v>
      </c>
      <c r="I22" s="251" t="b">
        <v>1</v>
      </c>
      <c r="J22" s="6"/>
      <c r="K22" s="6"/>
      <c r="L22" s="148"/>
      <c r="M22" s="148"/>
      <c r="N22" s="6"/>
      <c r="O22" s="6"/>
      <c r="P22" s="539" t="s">
        <v>190</v>
      </c>
      <c r="Q22" s="540"/>
      <c r="R22" s="540"/>
      <c r="S22" s="159"/>
      <c r="T22" s="159"/>
      <c r="U22" s="160"/>
      <c r="V22" s="6"/>
      <c r="W22" s="6"/>
      <c r="X22" s="148"/>
      <c r="Y22" s="6"/>
      <c r="Z22" s="6"/>
      <c r="AA22" s="197">
        <v>7</v>
      </c>
      <c r="AB22" s="522" t="s">
        <v>191</v>
      </c>
      <c r="AC22" s="497"/>
      <c r="AD22" s="254" t="b">
        <v>1</v>
      </c>
      <c r="AE22" s="254" t="b">
        <v>1</v>
      </c>
      <c r="AF22" s="255" t="b">
        <v>1</v>
      </c>
      <c r="AG22" s="6"/>
      <c r="AH22" s="6"/>
      <c r="AI22" s="148"/>
      <c r="AJ22" s="6"/>
      <c r="AK22" s="6"/>
      <c r="AL22" s="518" t="s">
        <v>192</v>
      </c>
      <c r="AM22" s="519"/>
      <c r="AN22" s="519"/>
      <c r="AO22" s="163"/>
      <c r="AP22" s="163"/>
      <c r="AQ22" s="164"/>
      <c r="AR22" s="6"/>
      <c r="AS22" s="6"/>
      <c r="AT22" s="148"/>
      <c r="AU22" s="6"/>
      <c r="AV22" s="6"/>
      <c r="AW22" s="183">
        <v>4</v>
      </c>
      <c r="AX22" s="560" t="s">
        <v>193</v>
      </c>
      <c r="AY22" s="491"/>
      <c r="AZ22" s="275" t="b">
        <v>1</v>
      </c>
      <c r="BA22" s="275" t="b">
        <v>1</v>
      </c>
      <c r="BB22" s="276" t="b">
        <v>0</v>
      </c>
      <c r="BC22" s="6"/>
      <c r="BD22" s="6"/>
      <c r="BE22" s="148"/>
      <c r="BF22" s="6"/>
      <c r="BG22" s="6"/>
      <c r="BH22" s="258">
        <v>2</v>
      </c>
      <c r="BI22" s="599" t="s">
        <v>194</v>
      </c>
      <c r="BJ22" s="600"/>
      <c r="BK22" s="280" t="s">
        <v>58</v>
      </c>
      <c r="BL22" s="259" t="b">
        <v>1</v>
      </c>
      <c r="BM22" s="260" t="b">
        <v>1</v>
      </c>
      <c r="BN22" s="6"/>
      <c r="BO22" s="6"/>
      <c r="BP22" s="148"/>
      <c r="BQ22" s="6"/>
      <c r="BR22" s="6"/>
      <c r="BS22" s="502" t="s">
        <v>195</v>
      </c>
      <c r="BT22" s="503"/>
      <c r="BU22" s="503"/>
      <c r="BV22" s="169"/>
      <c r="BW22" s="169"/>
      <c r="BX22" s="170"/>
      <c r="BY22" s="6"/>
      <c r="BZ22" s="6"/>
      <c r="CA22" s="148"/>
    </row>
    <row r="23" spans="1:79" ht="22.5" customHeight="1">
      <c r="A23" s="148"/>
      <c r="B23" s="6"/>
      <c r="C23" s="6"/>
      <c r="D23" s="230">
        <v>8</v>
      </c>
      <c r="E23" s="511" t="s">
        <v>196</v>
      </c>
      <c r="F23" s="495"/>
      <c r="G23" s="250" t="b">
        <v>1</v>
      </c>
      <c r="H23" s="250" t="b">
        <v>1</v>
      </c>
      <c r="I23" s="251" t="b">
        <v>1</v>
      </c>
      <c r="J23" s="6"/>
      <c r="K23" s="6"/>
      <c r="L23" s="148"/>
      <c r="M23" s="148"/>
      <c r="N23" s="6"/>
      <c r="O23" s="6"/>
      <c r="P23" s="233">
        <v>1</v>
      </c>
      <c r="Q23" s="544" t="s">
        <v>197</v>
      </c>
      <c r="R23" s="533"/>
      <c r="S23" s="234" t="b">
        <v>1</v>
      </c>
      <c r="T23" s="234" t="b">
        <v>1</v>
      </c>
      <c r="U23" s="235" t="b">
        <v>1</v>
      </c>
      <c r="V23" s="6"/>
      <c r="W23" s="6"/>
      <c r="X23" s="148"/>
      <c r="Y23" s="6"/>
      <c r="Z23" s="6"/>
      <c r="AA23" s="197">
        <v>8</v>
      </c>
      <c r="AB23" s="522" t="s">
        <v>198</v>
      </c>
      <c r="AC23" s="497"/>
      <c r="AD23" s="254" t="b">
        <v>1</v>
      </c>
      <c r="AE23" s="254" t="b">
        <v>1</v>
      </c>
      <c r="AF23" s="255" t="b">
        <v>1</v>
      </c>
      <c r="AG23" s="6"/>
      <c r="AH23" s="6"/>
      <c r="AI23" s="148"/>
      <c r="AJ23" s="6"/>
      <c r="AK23" s="6"/>
      <c r="AL23" s="238">
        <v>1</v>
      </c>
      <c r="AM23" s="520" t="s">
        <v>199</v>
      </c>
      <c r="AN23" s="521"/>
      <c r="AO23" s="239" t="b">
        <v>1</v>
      </c>
      <c r="AP23" s="239" t="b">
        <v>1</v>
      </c>
      <c r="AQ23" s="240" t="b">
        <v>1</v>
      </c>
      <c r="AR23" s="6"/>
      <c r="AS23" s="6"/>
      <c r="AT23" s="148"/>
      <c r="AU23" s="6"/>
      <c r="AV23" s="6"/>
      <c r="AW23" s="183">
        <v>5</v>
      </c>
      <c r="AX23" s="560" t="s">
        <v>200</v>
      </c>
      <c r="AY23" s="491"/>
      <c r="AZ23" s="275" t="b">
        <v>1</v>
      </c>
      <c r="BA23" s="275" t="b">
        <v>1</v>
      </c>
      <c r="BB23" s="276" t="b">
        <v>1</v>
      </c>
      <c r="BC23" s="6"/>
      <c r="BD23" s="6"/>
      <c r="BE23" s="148"/>
      <c r="BF23" s="6"/>
      <c r="BG23" s="6"/>
      <c r="BH23" s="264">
        <v>3</v>
      </c>
      <c r="BI23" s="601" t="s">
        <v>201</v>
      </c>
      <c r="BJ23" s="602"/>
      <c r="BK23" s="281" t="s">
        <v>58</v>
      </c>
      <c r="BL23" s="265" t="b">
        <v>1</v>
      </c>
      <c r="BM23" s="266" t="b">
        <v>1</v>
      </c>
      <c r="BN23" s="6"/>
      <c r="BO23" s="6"/>
      <c r="BP23" s="148"/>
      <c r="BQ23" s="6"/>
      <c r="BR23" s="6"/>
      <c r="BS23" s="282">
        <v>1</v>
      </c>
      <c r="BT23" s="627" t="s">
        <v>202</v>
      </c>
      <c r="BU23" s="628"/>
      <c r="BV23" s="283" t="b">
        <v>1</v>
      </c>
      <c r="BW23" s="283" t="b">
        <v>1</v>
      </c>
      <c r="BX23" s="284" t="b">
        <v>1</v>
      </c>
      <c r="BY23" s="6"/>
      <c r="BZ23" s="6"/>
      <c r="CA23" s="148"/>
    </row>
    <row r="24" spans="1:79" ht="12.5">
      <c r="A24" s="148"/>
      <c r="B24" s="6"/>
      <c r="C24" s="6"/>
      <c r="D24" s="230">
        <v>9</v>
      </c>
      <c r="E24" s="510" t="s">
        <v>203</v>
      </c>
      <c r="F24" s="487"/>
      <c r="G24" s="250" t="b">
        <v>1</v>
      </c>
      <c r="H24" s="250" t="b">
        <v>1</v>
      </c>
      <c r="I24" s="251" t="b">
        <v>1</v>
      </c>
      <c r="J24" s="6"/>
      <c r="K24" s="6"/>
      <c r="L24" s="148"/>
      <c r="M24" s="148"/>
      <c r="N24" s="6"/>
      <c r="O24" s="6"/>
      <c r="P24" s="233">
        <v>2</v>
      </c>
      <c r="Q24" s="498" t="s">
        <v>204</v>
      </c>
      <c r="R24" s="499"/>
      <c r="S24" s="252" t="b">
        <v>1</v>
      </c>
      <c r="T24" s="252" t="b">
        <v>1</v>
      </c>
      <c r="U24" s="253" t="b">
        <v>1</v>
      </c>
      <c r="V24" s="6"/>
      <c r="W24" s="6"/>
      <c r="X24" s="148"/>
      <c r="Y24" s="6"/>
      <c r="Z24" s="6"/>
      <c r="AA24" s="210">
        <v>9</v>
      </c>
      <c r="AB24" s="556" t="s">
        <v>205</v>
      </c>
      <c r="AC24" s="538"/>
      <c r="AD24" s="285" t="b">
        <v>1</v>
      </c>
      <c r="AE24" s="285" t="b">
        <v>1</v>
      </c>
      <c r="AF24" s="286" t="b">
        <v>1</v>
      </c>
      <c r="AG24" s="6"/>
      <c r="AH24" s="6"/>
      <c r="AI24" s="148"/>
      <c r="AJ24" s="6"/>
      <c r="AK24" s="6"/>
      <c r="AL24" s="180">
        <v>2</v>
      </c>
      <c r="AM24" s="523" t="s">
        <v>206</v>
      </c>
      <c r="AN24" s="513"/>
      <c r="AO24" s="256" t="b">
        <v>1</v>
      </c>
      <c r="AP24" s="256" t="b">
        <v>1</v>
      </c>
      <c r="AQ24" s="257" t="b">
        <v>1</v>
      </c>
      <c r="AR24" s="6"/>
      <c r="AS24" s="6"/>
      <c r="AT24" s="148"/>
      <c r="AU24" s="6"/>
      <c r="AV24" s="6"/>
      <c r="AW24" s="183">
        <v>6</v>
      </c>
      <c r="AX24" s="560" t="s">
        <v>207</v>
      </c>
      <c r="AY24" s="491"/>
      <c r="AZ24" s="275" t="b">
        <v>1</v>
      </c>
      <c r="BA24" s="275" t="b">
        <v>1</v>
      </c>
      <c r="BB24" s="276" t="b">
        <v>1</v>
      </c>
      <c r="BC24" s="6"/>
      <c r="BD24" s="6"/>
      <c r="BE24" s="148"/>
      <c r="BF24" s="6"/>
      <c r="BG24" s="6"/>
      <c r="BH24" s="6"/>
      <c r="BI24" s="6"/>
      <c r="BJ24" s="6"/>
      <c r="BK24" s="6"/>
      <c r="BL24" s="6"/>
      <c r="BM24" s="6"/>
      <c r="BN24" s="6"/>
      <c r="BO24" s="6"/>
      <c r="BP24" s="148"/>
      <c r="BQ24" s="6"/>
      <c r="BR24" s="6"/>
      <c r="BS24" s="188">
        <v>2</v>
      </c>
      <c r="BT24" s="629" t="s">
        <v>208</v>
      </c>
      <c r="BU24" s="493"/>
      <c r="BV24" s="287" t="b">
        <v>1</v>
      </c>
      <c r="BW24" s="287" t="b">
        <v>1</v>
      </c>
      <c r="BX24" s="288" t="b">
        <v>1</v>
      </c>
      <c r="BY24" s="6"/>
      <c r="BZ24" s="6"/>
      <c r="CA24" s="148"/>
    </row>
    <row r="25" spans="1:79" ht="13">
      <c r="A25" s="148"/>
      <c r="B25" s="6"/>
      <c r="C25" s="6"/>
      <c r="D25" s="289">
        <v>10</v>
      </c>
      <c r="E25" s="570" t="s">
        <v>209</v>
      </c>
      <c r="F25" s="507"/>
      <c r="G25" s="290" t="b">
        <v>1</v>
      </c>
      <c r="H25" s="290" t="b">
        <v>1</v>
      </c>
      <c r="I25" s="291" t="b">
        <v>1</v>
      </c>
      <c r="J25" s="6"/>
      <c r="K25" s="6"/>
      <c r="L25" s="148"/>
      <c r="M25" s="148"/>
      <c r="N25" s="6"/>
      <c r="O25" s="6"/>
      <c r="P25" s="233">
        <v>3</v>
      </c>
      <c r="Q25" s="498" t="s">
        <v>210</v>
      </c>
      <c r="R25" s="499"/>
      <c r="S25" s="252" t="b">
        <v>1</v>
      </c>
      <c r="T25" s="252" t="b">
        <v>1</v>
      </c>
      <c r="U25" s="253" t="b">
        <v>1</v>
      </c>
      <c r="V25" s="6"/>
      <c r="W25" s="6"/>
      <c r="X25" s="148"/>
      <c r="Y25" s="6"/>
      <c r="Z25" s="6"/>
      <c r="AA25" s="6"/>
      <c r="AB25" s="6"/>
      <c r="AC25" s="6"/>
      <c r="AD25" s="6"/>
      <c r="AE25" s="6"/>
      <c r="AF25" s="6"/>
      <c r="AG25" s="6"/>
      <c r="AH25" s="6"/>
      <c r="AI25" s="148"/>
      <c r="AJ25" s="6"/>
      <c r="AK25" s="6"/>
      <c r="AL25" s="180">
        <v>3</v>
      </c>
      <c r="AM25" s="523" t="s">
        <v>211</v>
      </c>
      <c r="AN25" s="513"/>
      <c r="AO25" s="256" t="b">
        <v>1</v>
      </c>
      <c r="AP25" s="256" t="b">
        <v>1</v>
      </c>
      <c r="AQ25" s="257" t="b">
        <v>1</v>
      </c>
      <c r="AR25" s="6"/>
      <c r="AS25" s="6"/>
      <c r="AT25" s="148"/>
      <c r="AU25" s="6"/>
      <c r="AV25" s="6"/>
      <c r="AW25" s="183">
        <v>7</v>
      </c>
      <c r="AX25" s="560" t="s">
        <v>212</v>
      </c>
      <c r="AY25" s="491"/>
      <c r="AZ25" s="275" t="b">
        <v>1</v>
      </c>
      <c r="BA25" s="275" t="b">
        <v>1</v>
      </c>
      <c r="BB25" s="276" t="b">
        <v>1</v>
      </c>
      <c r="BC25" s="6"/>
      <c r="BD25" s="6"/>
      <c r="BE25" s="148"/>
      <c r="BF25" s="6"/>
      <c r="BG25" s="6"/>
      <c r="BH25" s="530" t="s">
        <v>213</v>
      </c>
      <c r="BI25" s="531"/>
      <c r="BJ25" s="531"/>
      <c r="BK25" s="292"/>
      <c r="BL25" s="292"/>
      <c r="BM25" s="293"/>
      <c r="BN25" s="6"/>
      <c r="BO25" s="6"/>
      <c r="BP25" s="148"/>
      <c r="BQ25" s="6"/>
      <c r="BR25" s="6"/>
      <c r="BS25" s="219">
        <v>3</v>
      </c>
      <c r="BT25" s="622" t="s">
        <v>214</v>
      </c>
      <c r="BU25" s="501"/>
      <c r="BV25" s="294" t="s">
        <v>58</v>
      </c>
      <c r="BW25" s="295" t="b">
        <v>1</v>
      </c>
      <c r="BX25" s="296" t="b">
        <v>1</v>
      </c>
      <c r="BY25" s="6"/>
      <c r="BZ25" s="6"/>
      <c r="CA25" s="148"/>
    </row>
    <row r="26" spans="1:79" ht="14">
      <c r="A26" s="148"/>
      <c r="B26" s="6"/>
      <c r="C26" s="6"/>
      <c r="D26" s="6"/>
      <c r="E26" s="6"/>
      <c r="F26" s="6"/>
      <c r="G26" s="6"/>
      <c r="H26" s="6"/>
      <c r="I26" s="6"/>
      <c r="J26" s="6"/>
      <c r="K26" s="6"/>
      <c r="L26" s="148"/>
      <c r="M26" s="148"/>
      <c r="N26" s="6"/>
      <c r="O26" s="6"/>
      <c r="P26" s="297">
        <v>4</v>
      </c>
      <c r="Q26" s="498" t="s">
        <v>215</v>
      </c>
      <c r="R26" s="499"/>
      <c r="S26" s="252" t="b">
        <v>1</v>
      </c>
      <c r="T26" s="252" t="b">
        <v>1</v>
      </c>
      <c r="U26" s="253" t="b">
        <v>1</v>
      </c>
      <c r="V26" s="6"/>
      <c r="W26" s="6"/>
      <c r="X26" s="148"/>
      <c r="Y26" s="6"/>
      <c r="Z26" s="6"/>
      <c r="AA26" s="541" t="s">
        <v>216</v>
      </c>
      <c r="AB26" s="542"/>
      <c r="AC26" s="542"/>
      <c r="AD26" s="161"/>
      <c r="AE26" s="161"/>
      <c r="AF26" s="162"/>
      <c r="AG26" s="6"/>
      <c r="AH26" s="6"/>
      <c r="AI26" s="148"/>
      <c r="AJ26" s="6"/>
      <c r="AK26" s="6"/>
      <c r="AL26" s="180">
        <v>4</v>
      </c>
      <c r="AM26" s="523" t="s">
        <v>217</v>
      </c>
      <c r="AN26" s="513"/>
      <c r="AO26" s="256" t="b">
        <v>1</v>
      </c>
      <c r="AP26" s="256" t="b">
        <v>1</v>
      </c>
      <c r="AQ26" s="257" t="b">
        <v>1</v>
      </c>
      <c r="AR26" s="6"/>
      <c r="AS26" s="6"/>
      <c r="AT26" s="148"/>
      <c r="AU26" s="6"/>
      <c r="AV26" s="6"/>
      <c r="AW26" s="213">
        <v>8</v>
      </c>
      <c r="AX26" s="561" t="s">
        <v>218</v>
      </c>
      <c r="AY26" s="515"/>
      <c r="AZ26" s="298" t="b">
        <v>1</v>
      </c>
      <c r="BA26" s="298" t="b">
        <v>1</v>
      </c>
      <c r="BB26" s="299" t="b">
        <v>1</v>
      </c>
      <c r="BC26" s="6"/>
      <c r="BD26" s="6"/>
      <c r="BE26" s="148"/>
      <c r="BF26" s="6"/>
      <c r="BG26" s="6"/>
      <c r="BH26" s="244">
        <v>1</v>
      </c>
      <c r="BI26" s="504" t="s">
        <v>77</v>
      </c>
      <c r="BJ26" s="505"/>
      <c r="BK26" s="245" t="b">
        <v>1</v>
      </c>
      <c r="BL26" s="245" t="b">
        <v>1</v>
      </c>
      <c r="BM26" s="246" t="b">
        <v>1</v>
      </c>
      <c r="BN26" s="6"/>
      <c r="BO26" s="6"/>
      <c r="BP26" s="148"/>
      <c r="BQ26" s="6"/>
      <c r="BR26" s="6"/>
      <c r="BS26" s="6"/>
      <c r="BT26" s="6"/>
      <c r="BU26" s="6"/>
      <c r="BV26" s="6"/>
      <c r="BW26" s="6"/>
      <c r="BX26" s="6"/>
      <c r="BY26" s="6"/>
      <c r="BZ26" s="6"/>
      <c r="CA26" s="148"/>
    </row>
    <row r="27" spans="1:79" ht="37.5" customHeight="1">
      <c r="A27" s="148"/>
      <c r="B27" s="6"/>
      <c r="C27" s="6"/>
      <c r="D27" s="508" t="s">
        <v>219</v>
      </c>
      <c r="E27" s="509"/>
      <c r="F27" s="509"/>
      <c r="G27" s="157"/>
      <c r="H27" s="157"/>
      <c r="I27" s="158"/>
      <c r="J27" s="6"/>
      <c r="K27" s="6"/>
      <c r="L27" s="148"/>
      <c r="M27" s="148"/>
      <c r="N27" s="6"/>
      <c r="O27" s="6"/>
      <c r="P27" s="233">
        <v>5</v>
      </c>
      <c r="Q27" s="498" t="s">
        <v>220</v>
      </c>
      <c r="R27" s="499"/>
      <c r="S27" s="300" t="s">
        <v>58</v>
      </c>
      <c r="T27" s="252" t="b">
        <v>1</v>
      </c>
      <c r="U27" s="253" t="b">
        <v>1</v>
      </c>
      <c r="V27" s="6"/>
      <c r="W27" s="6"/>
      <c r="X27" s="148"/>
      <c r="Y27" s="6"/>
      <c r="Z27" s="6"/>
      <c r="AA27" s="177">
        <v>1</v>
      </c>
      <c r="AB27" s="543" t="s">
        <v>221</v>
      </c>
      <c r="AC27" s="489"/>
      <c r="AD27" s="236" t="b">
        <v>1</v>
      </c>
      <c r="AE27" s="236" t="b">
        <v>1</v>
      </c>
      <c r="AF27" s="237" t="b">
        <v>1</v>
      </c>
      <c r="AG27" s="6"/>
      <c r="AH27" s="6"/>
      <c r="AI27" s="148"/>
      <c r="AJ27" s="6"/>
      <c r="AK27" s="6"/>
      <c r="AL27" s="180">
        <v>5</v>
      </c>
      <c r="AM27" s="523" t="s">
        <v>222</v>
      </c>
      <c r="AN27" s="513"/>
      <c r="AO27" s="301" t="s">
        <v>58</v>
      </c>
      <c r="AP27" s="256" t="b">
        <v>1</v>
      </c>
      <c r="AQ27" s="257" t="b">
        <v>1</v>
      </c>
      <c r="AR27" s="6"/>
      <c r="AS27" s="6"/>
      <c r="AT27" s="148"/>
      <c r="AU27" s="6"/>
      <c r="AV27" s="6"/>
      <c r="AW27" s="6"/>
      <c r="AX27" s="6"/>
      <c r="AY27" s="6"/>
      <c r="AZ27" s="6"/>
      <c r="BA27" s="6"/>
      <c r="BB27" s="6"/>
      <c r="BC27" s="6"/>
      <c r="BD27" s="6"/>
      <c r="BE27" s="148"/>
      <c r="BF27" s="6"/>
      <c r="BG27" s="6"/>
      <c r="BH27" s="258">
        <v>2</v>
      </c>
      <c r="BI27" s="599" t="s">
        <v>79</v>
      </c>
      <c r="BJ27" s="600"/>
      <c r="BK27" s="259" t="b">
        <v>1</v>
      </c>
      <c r="BL27" s="259" t="b">
        <v>1</v>
      </c>
      <c r="BM27" s="260" t="b">
        <v>1</v>
      </c>
      <c r="BN27" s="6"/>
      <c r="BO27" s="6"/>
      <c r="BP27" s="148"/>
      <c r="BQ27" s="6"/>
      <c r="BR27" s="6"/>
      <c r="BS27" s="623" t="s">
        <v>213</v>
      </c>
      <c r="BT27" s="624"/>
      <c r="BU27" s="624"/>
      <c r="BV27" s="302"/>
      <c r="BW27" s="302"/>
      <c r="BX27" s="303"/>
      <c r="BY27" s="6"/>
      <c r="BZ27" s="6"/>
      <c r="CA27" s="148"/>
    </row>
    <row r="28" spans="1:79" ht="22.5" customHeight="1">
      <c r="A28" s="148"/>
      <c r="B28" s="6"/>
      <c r="C28" s="6"/>
      <c r="D28" s="230">
        <v>1</v>
      </c>
      <c r="E28" s="510" t="s">
        <v>223</v>
      </c>
      <c r="F28" s="487"/>
      <c r="G28" s="231" t="b">
        <v>1</v>
      </c>
      <c r="H28" s="231" t="b">
        <v>1</v>
      </c>
      <c r="I28" s="232" t="b">
        <v>1</v>
      </c>
      <c r="J28" s="6"/>
      <c r="K28" s="6"/>
      <c r="L28" s="148"/>
      <c r="M28" s="148"/>
      <c r="N28" s="6"/>
      <c r="O28" s="6"/>
      <c r="P28" s="270">
        <v>6</v>
      </c>
      <c r="Q28" s="554" t="s">
        <v>224</v>
      </c>
      <c r="R28" s="536"/>
      <c r="S28" s="304" t="s">
        <v>58</v>
      </c>
      <c r="T28" s="304" t="s">
        <v>58</v>
      </c>
      <c r="U28" s="272" t="b">
        <v>1</v>
      </c>
      <c r="V28" s="6"/>
      <c r="W28" s="6"/>
      <c r="X28" s="148"/>
      <c r="Y28" s="6"/>
      <c r="Z28" s="6"/>
      <c r="AA28" s="197">
        <v>2</v>
      </c>
      <c r="AB28" s="522" t="s">
        <v>225</v>
      </c>
      <c r="AC28" s="497"/>
      <c r="AD28" s="254" t="b">
        <v>1</v>
      </c>
      <c r="AE28" s="254" t="b">
        <v>1</v>
      </c>
      <c r="AF28" s="255" t="b">
        <v>1</v>
      </c>
      <c r="AG28" s="6"/>
      <c r="AH28" s="6"/>
      <c r="AI28" s="148"/>
      <c r="AJ28" s="6"/>
      <c r="AK28" s="6"/>
      <c r="AL28" s="180">
        <v>6</v>
      </c>
      <c r="AM28" s="523" t="s">
        <v>226</v>
      </c>
      <c r="AN28" s="513"/>
      <c r="AO28" s="301" t="s">
        <v>58</v>
      </c>
      <c r="AP28" s="256" t="b">
        <v>1</v>
      </c>
      <c r="AQ28" s="257" t="b">
        <v>1</v>
      </c>
      <c r="AR28" s="6"/>
      <c r="AS28" s="6"/>
      <c r="AT28" s="148"/>
      <c r="AU28" s="6"/>
      <c r="AV28" s="6"/>
      <c r="AW28" s="524" t="s">
        <v>227</v>
      </c>
      <c r="AX28" s="525"/>
      <c r="AY28" s="525"/>
      <c r="AZ28" s="165"/>
      <c r="BA28" s="165"/>
      <c r="BB28" s="166"/>
      <c r="BC28" s="6"/>
      <c r="BD28" s="6"/>
      <c r="BE28" s="148"/>
      <c r="BF28" s="6"/>
      <c r="BG28" s="6"/>
      <c r="BH28" s="258">
        <v>3</v>
      </c>
      <c r="BI28" s="599" t="s">
        <v>80</v>
      </c>
      <c r="BJ28" s="600"/>
      <c r="BK28" s="259" t="b">
        <v>1</v>
      </c>
      <c r="BL28" s="259" t="b">
        <v>1</v>
      </c>
      <c r="BM28" s="260" t="b">
        <v>1</v>
      </c>
      <c r="BN28" s="6"/>
      <c r="BO28" s="6"/>
      <c r="BP28" s="148"/>
      <c r="BQ28" s="6"/>
      <c r="BR28" s="6"/>
      <c r="BS28" s="305">
        <v>1</v>
      </c>
      <c r="BT28" s="548" t="s">
        <v>77</v>
      </c>
      <c r="BU28" s="549"/>
      <c r="BV28" s="306" t="b">
        <v>1</v>
      </c>
      <c r="BW28" s="306" t="b">
        <v>1</v>
      </c>
      <c r="BX28" s="307" t="b">
        <v>1</v>
      </c>
      <c r="BY28" s="6"/>
      <c r="BZ28" s="6"/>
      <c r="CA28" s="148"/>
    </row>
    <row r="29" spans="1:79" ht="22.5" customHeight="1">
      <c r="A29" s="148"/>
      <c r="B29" s="6"/>
      <c r="C29" s="6"/>
      <c r="D29" s="230">
        <v>2</v>
      </c>
      <c r="E29" s="511" t="s">
        <v>228</v>
      </c>
      <c r="F29" s="495"/>
      <c r="G29" s="250" t="b">
        <v>1</v>
      </c>
      <c r="H29" s="250" t="b">
        <v>1</v>
      </c>
      <c r="I29" s="251" t="b">
        <v>1</v>
      </c>
      <c r="J29" s="6"/>
      <c r="K29" s="6"/>
      <c r="L29" s="148"/>
      <c r="M29" s="148"/>
      <c r="N29" s="6"/>
      <c r="O29" s="6"/>
      <c r="P29" s="6"/>
      <c r="Q29" s="6"/>
      <c r="R29" s="6"/>
      <c r="S29" s="6"/>
      <c r="T29" s="6"/>
      <c r="U29" s="6"/>
      <c r="V29" s="6"/>
      <c r="W29" s="6"/>
      <c r="X29" s="148"/>
      <c r="Y29" s="6"/>
      <c r="Z29" s="6"/>
      <c r="AA29" s="197">
        <v>3</v>
      </c>
      <c r="AB29" s="522" t="s">
        <v>229</v>
      </c>
      <c r="AC29" s="497"/>
      <c r="AD29" s="254" t="b">
        <v>1</v>
      </c>
      <c r="AE29" s="254" t="b">
        <v>1</v>
      </c>
      <c r="AF29" s="255" t="b">
        <v>1</v>
      </c>
      <c r="AG29" s="6"/>
      <c r="AH29" s="6"/>
      <c r="AI29" s="148"/>
      <c r="AJ29" s="6"/>
      <c r="AK29" s="6"/>
      <c r="AL29" s="180">
        <v>7</v>
      </c>
      <c r="AM29" s="523" t="s">
        <v>230</v>
      </c>
      <c r="AN29" s="513"/>
      <c r="AO29" s="301" t="s">
        <v>58</v>
      </c>
      <c r="AP29" s="256" t="b">
        <v>1</v>
      </c>
      <c r="AQ29" s="257" t="b">
        <v>1</v>
      </c>
      <c r="AR29" s="6"/>
      <c r="AS29" s="6"/>
      <c r="AT29" s="148"/>
      <c r="AU29" s="6"/>
      <c r="AV29" s="6"/>
      <c r="AW29" s="267">
        <v>1</v>
      </c>
      <c r="AX29" s="526" t="s">
        <v>231</v>
      </c>
      <c r="AY29" s="527"/>
      <c r="AZ29" s="308" t="s">
        <v>58</v>
      </c>
      <c r="BA29" s="268" t="b">
        <v>1</v>
      </c>
      <c r="BB29" s="269" t="b">
        <v>1</v>
      </c>
      <c r="BC29" s="6"/>
      <c r="BD29" s="6"/>
      <c r="BE29" s="148"/>
      <c r="BF29" s="6"/>
      <c r="BG29" s="6"/>
      <c r="BH29" s="258">
        <v>4</v>
      </c>
      <c r="BI29" s="599" t="s">
        <v>81</v>
      </c>
      <c r="BJ29" s="600"/>
      <c r="BK29" s="280" t="s">
        <v>58</v>
      </c>
      <c r="BL29" s="259" t="b">
        <v>1</v>
      </c>
      <c r="BM29" s="260" t="b">
        <v>1</v>
      </c>
      <c r="BN29" s="6"/>
      <c r="BO29" s="6"/>
      <c r="BP29" s="148"/>
      <c r="BQ29" s="6"/>
      <c r="BR29" s="6"/>
      <c r="BS29" s="309">
        <v>2</v>
      </c>
      <c r="BT29" s="547" t="s">
        <v>79</v>
      </c>
      <c r="BU29" s="495"/>
      <c r="BV29" s="310" t="b">
        <v>1</v>
      </c>
      <c r="BW29" s="310" t="b">
        <v>1</v>
      </c>
      <c r="BX29" s="311" t="b">
        <v>1</v>
      </c>
      <c r="BY29" s="6"/>
      <c r="BZ29" s="6"/>
      <c r="CA29" s="148"/>
    </row>
    <row r="30" spans="1:79" ht="22.5" customHeight="1">
      <c r="A30" s="148"/>
      <c r="B30" s="6"/>
      <c r="C30" s="6"/>
      <c r="D30" s="230">
        <v>3</v>
      </c>
      <c r="E30" s="510" t="s">
        <v>167</v>
      </c>
      <c r="F30" s="487"/>
      <c r="G30" s="250" t="b">
        <v>1</v>
      </c>
      <c r="H30" s="250" t="b">
        <v>1</v>
      </c>
      <c r="I30" s="251" t="b">
        <v>1</v>
      </c>
      <c r="J30" s="6"/>
      <c r="K30" s="6"/>
      <c r="L30" s="148"/>
      <c r="M30" s="148"/>
      <c r="N30" s="6"/>
      <c r="O30" s="6"/>
      <c r="P30" s="539" t="s">
        <v>29</v>
      </c>
      <c r="Q30" s="540"/>
      <c r="R30" s="540"/>
      <c r="S30" s="159"/>
      <c r="T30" s="159"/>
      <c r="U30" s="160"/>
      <c r="V30" s="6"/>
      <c r="W30" s="6"/>
      <c r="X30" s="148"/>
      <c r="Y30" s="6"/>
      <c r="Z30" s="6"/>
      <c r="AA30" s="210">
        <v>4</v>
      </c>
      <c r="AB30" s="556" t="s">
        <v>232</v>
      </c>
      <c r="AC30" s="538"/>
      <c r="AD30" s="285" t="b">
        <v>1</v>
      </c>
      <c r="AE30" s="285" t="b">
        <v>1</v>
      </c>
      <c r="AF30" s="286" t="b">
        <v>1</v>
      </c>
      <c r="AG30" s="6"/>
      <c r="AH30" s="6"/>
      <c r="AI30" s="148"/>
      <c r="AJ30" s="6"/>
      <c r="AK30" s="6"/>
      <c r="AL30" s="180">
        <v>8</v>
      </c>
      <c r="AM30" s="523" t="s">
        <v>233</v>
      </c>
      <c r="AN30" s="513"/>
      <c r="AO30" s="301" t="s">
        <v>58</v>
      </c>
      <c r="AP30" s="256" t="b">
        <v>1</v>
      </c>
      <c r="AQ30" s="257" t="b">
        <v>1</v>
      </c>
      <c r="AR30" s="6"/>
      <c r="AS30" s="6"/>
      <c r="AT30" s="148"/>
      <c r="AU30" s="6"/>
      <c r="AV30" s="6"/>
      <c r="AW30" s="183">
        <v>2</v>
      </c>
      <c r="AX30" s="560" t="s">
        <v>234</v>
      </c>
      <c r="AY30" s="491"/>
      <c r="AZ30" s="312" t="s">
        <v>58</v>
      </c>
      <c r="BA30" s="275" t="b">
        <v>1</v>
      </c>
      <c r="BB30" s="276" t="b">
        <v>1</v>
      </c>
      <c r="BC30" s="6"/>
      <c r="BD30" s="6"/>
      <c r="BE30" s="148"/>
      <c r="BF30" s="6"/>
      <c r="BG30" s="6"/>
      <c r="BH30" s="258">
        <v>5</v>
      </c>
      <c r="BI30" s="599" t="s">
        <v>82</v>
      </c>
      <c r="BJ30" s="600"/>
      <c r="BK30" s="280" t="s">
        <v>58</v>
      </c>
      <c r="BL30" s="259" t="b">
        <v>1</v>
      </c>
      <c r="BM30" s="260" t="b">
        <v>1</v>
      </c>
      <c r="BN30" s="6"/>
      <c r="BO30" s="6"/>
      <c r="BP30" s="148"/>
      <c r="BQ30" s="6"/>
      <c r="BR30" s="6"/>
      <c r="BS30" s="309">
        <v>3</v>
      </c>
      <c r="BT30" s="547" t="s">
        <v>80</v>
      </c>
      <c r="BU30" s="495"/>
      <c r="BV30" s="310" t="b">
        <v>1</v>
      </c>
      <c r="BW30" s="310" t="b">
        <v>1</v>
      </c>
      <c r="BX30" s="311" t="b">
        <v>1</v>
      </c>
      <c r="BY30" s="6"/>
      <c r="BZ30" s="6"/>
      <c r="CA30" s="148"/>
    </row>
    <row r="31" spans="1:79" ht="22.5" customHeight="1">
      <c r="A31" s="148"/>
      <c r="B31" s="6"/>
      <c r="C31" s="6"/>
      <c r="D31" s="230">
        <v>4</v>
      </c>
      <c r="E31" s="511" t="s">
        <v>235</v>
      </c>
      <c r="F31" s="495"/>
      <c r="G31" s="250" t="b">
        <v>1</v>
      </c>
      <c r="H31" s="250" t="b">
        <v>1</v>
      </c>
      <c r="I31" s="251" t="b">
        <v>1</v>
      </c>
      <c r="J31" s="6"/>
      <c r="K31" s="6"/>
      <c r="L31" s="148"/>
      <c r="M31" s="148"/>
      <c r="N31" s="6"/>
      <c r="O31" s="6"/>
      <c r="P31" s="233">
        <v>1</v>
      </c>
      <c r="Q31" s="544" t="s">
        <v>236</v>
      </c>
      <c r="R31" s="533"/>
      <c r="S31" s="234" t="b">
        <v>1</v>
      </c>
      <c r="T31" s="234" t="b">
        <v>1</v>
      </c>
      <c r="U31" s="235" t="b">
        <v>1</v>
      </c>
      <c r="V31" s="6"/>
      <c r="W31" s="6"/>
      <c r="X31" s="148"/>
      <c r="Y31" s="6"/>
      <c r="Z31" s="6"/>
      <c r="AA31" s="6"/>
      <c r="AB31" s="6"/>
      <c r="AC31" s="6"/>
      <c r="AD31" s="6"/>
      <c r="AE31" s="6"/>
      <c r="AF31" s="6"/>
      <c r="AG31" s="6"/>
      <c r="AH31" s="6"/>
      <c r="AI31" s="148"/>
      <c r="AJ31" s="6"/>
      <c r="AK31" s="6"/>
      <c r="AL31" s="180">
        <v>9</v>
      </c>
      <c r="AM31" s="523" t="s">
        <v>237</v>
      </c>
      <c r="AN31" s="513"/>
      <c r="AO31" s="301" t="s">
        <v>58</v>
      </c>
      <c r="AP31" s="313" t="s">
        <v>58</v>
      </c>
      <c r="AQ31" s="257" t="b">
        <v>1</v>
      </c>
      <c r="AR31" s="6"/>
      <c r="AS31" s="6"/>
      <c r="AT31" s="148"/>
      <c r="AU31" s="6"/>
      <c r="AV31" s="6"/>
      <c r="AW31" s="183">
        <v>2</v>
      </c>
      <c r="AX31" s="560" t="s">
        <v>238</v>
      </c>
      <c r="AY31" s="491"/>
      <c r="AZ31" s="312" t="s">
        <v>58</v>
      </c>
      <c r="BA31" s="275" t="b">
        <v>1</v>
      </c>
      <c r="BB31" s="276" t="b">
        <v>1</v>
      </c>
      <c r="BC31" s="6"/>
      <c r="BD31" s="6"/>
      <c r="BE31" s="148"/>
      <c r="BF31" s="6"/>
      <c r="BG31" s="6"/>
      <c r="BH31" s="264">
        <v>6</v>
      </c>
      <c r="BI31" s="601" t="s">
        <v>83</v>
      </c>
      <c r="BJ31" s="602"/>
      <c r="BK31" s="281" t="s">
        <v>58</v>
      </c>
      <c r="BL31" s="281" t="s">
        <v>58</v>
      </c>
      <c r="BM31" s="266" t="b">
        <v>1</v>
      </c>
      <c r="BN31" s="6"/>
      <c r="BO31" s="6"/>
      <c r="BP31" s="148"/>
      <c r="BQ31" s="6"/>
      <c r="BR31" s="6"/>
      <c r="BS31" s="309">
        <v>4</v>
      </c>
      <c r="BT31" s="547" t="s">
        <v>81</v>
      </c>
      <c r="BU31" s="495"/>
      <c r="BV31" s="314" t="s">
        <v>58</v>
      </c>
      <c r="BW31" s="310" t="b">
        <v>1</v>
      </c>
      <c r="BX31" s="311" t="b">
        <v>1</v>
      </c>
      <c r="BY31" s="6"/>
      <c r="BZ31" s="6"/>
      <c r="CA31" s="148"/>
    </row>
    <row r="32" spans="1:79" ht="22.5" customHeight="1">
      <c r="A32" s="148"/>
      <c r="B32" s="6"/>
      <c r="C32" s="6"/>
      <c r="D32" s="230">
        <v>5</v>
      </c>
      <c r="E32" s="510" t="s">
        <v>239</v>
      </c>
      <c r="F32" s="487"/>
      <c r="G32" s="250" t="b">
        <v>1</v>
      </c>
      <c r="H32" s="250" t="b">
        <v>1</v>
      </c>
      <c r="I32" s="251" t="b">
        <v>1</v>
      </c>
      <c r="J32" s="6"/>
      <c r="K32" s="6"/>
      <c r="L32" s="148"/>
      <c r="M32" s="148"/>
      <c r="N32" s="6"/>
      <c r="O32" s="6"/>
      <c r="P32" s="233">
        <v>2</v>
      </c>
      <c r="Q32" s="498" t="s">
        <v>240</v>
      </c>
      <c r="R32" s="499"/>
      <c r="S32" s="252" t="b">
        <v>1</v>
      </c>
      <c r="T32" s="252" t="b">
        <v>1</v>
      </c>
      <c r="U32" s="253" t="b">
        <v>1</v>
      </c>
      <c r="V32" s="6"/>
      <c r="W32" s="6"/>
      <c r="X32" s="148"/>
      <c r="Y32" s="6"/>
      <c r="Z32" s="6"/>
      <c r="AA32" s="541" t="s">
        <v>241</v>
      </c>
      <c r="AB32" s="542"/>
      <c r="AC32" s="542"/>
      <c r="AD32" s="161"/>
      <c r="AE32" s="161"/>
      <c r="AF32" s="162"/>
      <c r="AG32" s="6"/>
      <c r="AH32" s="6"/>
      <c r="AI32" s="148"/>
      <c r="AJ32" s="6"/>
      <c r="AK32" s="6"/>
      <c r="AL32" s="225">
        <v>10</v>
      </c>
      <c r="AM32" s="633" t="s">
        <v>242</v>
      </c>
      <c r="AN32" s="517"/>
      <c r="AO32" s="315" t="s">
        <v>58</v>
      </c>
      <c r="AP32" s="315" t="s">
        <v>58</v>
      </c>
      <c r="AQ32" s="274" t="b">
        <v>1</v>
      </c>
      <c r="AR32" s="6"/>
      <c r="AS32" s="6"/>
      <c r="AT32" s="148"/>
      <c r="AU32" s="6"/>
      <c r="AV32" s="6"/>
      <c r="AW32" s="183">
        <v>2</v>
      </c>
      <c r="AX32" s="560" t="s">
        <v>243</v>
      </c>
      <c r="AY32" s="491"/>
      <c r="AZ32" s="312" t="s">
        <v>58</v>
      </c>
      <c r="BA32" s="275" t="b">
        <v>1</v>
      </c>
      <c r="BB32" s="276" t="b">
        <v>1</v>
      </c>
      <c r="BC32" s="6"/>
      <c r="BD32" s="6"/>
      <c r="BE32" s="148"/>
      <c r="BF32" s="6"/>
      <c r="BG32" s="6"/>
      <c r="BH32" s="6"/>
      <c r="BI32" s="6"/>
      <c r="BJ32" s="6"/>
      <c r="BK32" s="316"/>
      <c r="BL32" s="316"/>
      <c r="BM32" s="316"/>
      <c r="BN32" s="6"/>
      <c r="BO32" s="6"/>
      <c r="BP32" s="148"/>
      <c r="BQ32" s="6"/>
      <c r="BR32" s="6"/>
      <c r="BS32" s="309">
        <v>5</v>
      </c>
      <c r="BT32" s="547" t="s">
        <v>82</v>
      </c>
      <c r="BU32" s="495"/>
      <c r="BV32" s="314" t="s">
        <v>58</v>
      </c>
      <c r="BW32" s="310" t="b">
        <v>1</v>
      </c>
      <c r="BX32" s="311" t="b">
        <v>1</v>
      </c>
      <c r="BY32" s="6"/>
      <c r="BZ32" s="6"/>
      <c r="CA32" s="148"/>
    </row>
    <row r="33" spans="1:79" ht="22.5" customHeight="1">
      <c r="A33" s="148"/>
      <c r="B33" s="6"/>
      <c r="C33" s="6"/>
      <c r="D33" s="230">
        <v>6</v>
      </c>
      <c r="E33" s="511" t="s">
        <v>244</v>
      </c>
      <c r="F33" s="495"/>
      <c r="G33" s="317" t="s">
        <v>58</v>
      </c>
      <c r="H33" s="250" t="b">
        <v>1</v>
      </c>
      <c r="I33" s="251" t="b">
        <v>1</v>
      </c>
      <c r="J33" s="6"/>
      <c r="K33" s="6"/>
      <c r="L33" s="148"/>
      <c r="M33" s="148"/>
      <c r="N33" s="6"/>
      <c r="O33" s="6"/>
      <c r="P33" s="270">
        <v>3</v>
      </c>
      <c r="Q33" s="554" t="s">
        <v>245</v>
      </c>
      <c r="R33" s="536"/>
      <c r="S33" s="304" t="s">
        <v>58</v>
      </c>
      <c r="T33" s="271" t="b">
        <v>1</v>
      </c>
      <c r="U33" s="272" t="b">
        <v>1</v>
      </c>
      <c r="V33" s="6"/>
      <c r="W33" s="6"/>
      <c r="X33" s="148"/>
      <c r="Y33" s="6"/>
      <c r="Z33" s="6"/>
      <c r="AA33" s="177">
        <v>1</v>
      </c>
      <c r="AB33" s="543" t="s">
        <v>246</v>
      </c>
      <c r="AC33" s="489"/>
      <c r="AD33" s="236" t="b">
        <v>1</v>
      </c>
      <c r="AE33" s="236" t="b">
        <v>1</v>
      </c>
      <c r="AF33" s="237" t="b">
        <v>1</v>
      </c>
      <c r="AG33" s="6"/>
      <c r="AH33" s="6"/>
      <c r="AI33" s="148"/>
      <c r="AJ33" s="6"/>
      <c r="AK33" s="6"/>
      <c r="AL33" s="6"/>
      <c r="AM33" s="6"/>
      <c r="AN33" s="6"/>
      <c r="AO33" s="6"/>
      <c r="AP33" s="6"/>
      <c r="AQ33" s="6"/>
      <c r="AR33" s="6"/>
      <c r="AS33" s="6"/>
      <c r="AT33" s="148"/>
      <c r="AU33" s="6"/>
      <c r="AV33" s="6"/>
      <c r="AW33" s="183">
        <v>2</v>
      </c>
      <c r="AX33" s="560" t="s">
        <v>247</v>
      </c>
      <c r="AY33" s="491"/>
      <c r="AZ33" s="312" t="s">
        <v>58</v>
      </c>
      <c r="BA33" s="275" t="b">
        <v>1</v>
      </c>
      <c r="BB33" s="276" t="b">
        <v>1</v>
      </c>
      <c r="BC33" s="6"/>
      <c r="BD33" s="6"/>
      <c r="BE33" s="148"/>
      <c r="BF33" s="6"/>
      <c r="BG33" s="6"/>
      <c r="BH33" s="530" t="s">
        <v>248</v>
      </c>
      <c r="BI33" s="531"/>
      <c r="BJ33" s="531"/>
      <c r="BK33" s="318"/>
      <c r="BL33" s="318"/>
      <c r="BM33" s="319"/>
      <c r="BN33" s="6"/>
      <c r="BO33" s="6"/>
      <c r="BP33" s="148"/>
      <c r="BQ33" s="6"/>
      <c r="BR33" s="6"/>
      <c r="BS33" s="320">
        <v>6</v>
      </c>
      <c r="BT33" s="550" t="s">
        <v>83</v>
      </c>
      <c r="BU33" s="507"/>
      <c r="BV33" s="321" t="s">
        <v>58</v>
      </c>
      <c r="BW33" s="321" t="s">
        <v>58</v>
      </c>
      <c r="BX33" s="322" t="b">
        <v>1</v>
      </c>
      <c r="BY33" s="6"/>
      <c r="BZ33" s="6"/>
      <c r="CA33" s="148"/>
    </row>
    <row r="34" spans="1:79" ht="22.5" customHeight="1">
      <c r="A34" s="148"/>
      <c r="B34" s="6"/>
      <c r="C34" s="6"/>
      <c r="D34" s="230">
        <v>7</v>
      </c>
      <c r="E34" s="510" t="s">
        <v>249</v>
      </c>
      <c r="F34" s="487"/>
      <c r="G34" s="317" t="s">
        <v>58</v>
      </c>
      <c r="H34" s="250" t="b">
        <v>1</v>
      </c>
      <c r="I34" s="251" t="b">
        <v>1</v>
      </c>
      <c r="J34" s="6"/>
      <c r="K34" s="6"/>
      <c r="L34" s="148"/>
      <c r="M34" s="148"/>
      <c r="N34" s="6"/>
      <c r="O34" s="6"/>
      <c r="P34" s="6"/>
      <c r="Q34" s="6"/>
      <c r="R34" s="6"/>
      <c r="S34" s="6"/>
      <c r="T34" s="6"/>
      <c r="U34" s="6"/>
      <c r="V34" s="6"/>
      <c r="W34" s="6"/>
      <c r="X34" s="148"/>
      <c r="Y34" s="6"/>
      <c r="Z34" s="6"/>
      <c r="AA34" s="197">
        <v>2</v>
      </c>
      <c r="AB34" s="522" t="s">
        <v>250</v>
      </c>
      <c r="AC34" s="497"/>
      <c r="AD34" s="254" t="b">
        <v>1</v>
      </c>
      <c r="AE34" s="254" t="b">
        <v>1</v>
      </c>
      <c r="AF34" s="255" t="b">
        <v>1</v>
      </c>
      <c r="AG34" s="6"/>
      <c r="AH34" s="6"/>
      <c r="AI34" s="148"/>
      <c r="AJ34" s="6"/>
      <c r="AK34" s="6"/>
      <c r="AL34" s="518" t="s">
        <v>241</v>
      </c>
      <c r="AM34" s="519"/>
      <c r="AN34" s="519"/>
      <c r="AO34" s="163"/>
      <c r="AP34" s="163"/>
      <c r="AQ34" s="164"/>
      <c r="AR34" s="6"/>
      <c r="AS34" s="6"/>
      <c r="AT34" s="148"/>
      <c r="AU34" s="6"/>
      <c r="AV34" s="6"/>
      <c r="AW34" s="183">
        <v>2</v>
      </c>
      <c r="AX34" s="560" t="s">
        <v>251</v>
      </c>
      <c r="AY34" s="491"/>
      <c r="AZ34" s="312" t="s">
        <v>58</v>
      </c>
      <c r="BA34" s="275" t="b">
        <v>1</v>
      </c>
      <c r="BB34" s="276" t="b">
        <v>1</v>
      </c>
      <c r="BC34" s="6"/>
      <c r="BD34" s="6"/>
      <c r="BE34" s="148"/>
      <c r="BF34" s="6"/>
      <c r="BG34" s="6"/>
      <c r="BH34" s="244">
        <v>1</v>
      </c>
      <c r="BI34" s="504" t="s">
        <v>86</v>
      </c>
      <c r="BJ34" s="505"/>
      <c r="BK34" s="245" t="b">
        <v>1</v>
      </c>
      <c r="BL34" s="245" t="b">
        <v>1</v>
      </c>
      <c r="BM34" s="246" t="b">
        <v>1</v>
      </c>
      <c r="BN34" s="6"/>
      <c r="BO34" s="6"/>
      <c r="BP34" s="148"/>
      <c r="BQ34" s="6"/>
      <c r="BR34" s="6"/>
      <c r="BS34" s="6"/>
      <c r="BT34" s="6"/>
      <c r="BU34" s="6"/>
      <c r="BV34" s="323"/>
      <c r="BW34" s="323"/>
      <c r="BX34" s="323"/>
      <c r="BY34" s="6"/>
      <c r="BZ34" s="6"/>
      <c r="CA34" s="148"/>
    </row>
    <row r="35" spans="1:79" ht="22.5" customHeight="1">
      <c r="A35" s="148"/>
      <c r="B35" s="6"/>
      <c r="C35" s="6"/>
      <c r="D35" s="230">
        <v>8</v>
      </c>
      <c r="E35" s="511" t="s">
        <v>252</v>
      </c>
      <c r="F35" s="495"/>
      <c r="G35" s="317" t="s">
        <v>58</v>
      </c>
      <c r="H35" s="250" t="b">
        <v>1</v>
      </c>
      <c r="I35" s="251" t="b">
        <v>1</v>
      </c>
      <c r="J35" s="6"/>
      <c r="K35" s="6"/>
      <c r="L35" s="148"/>
      <c r="M35" s="148"/>
      <c r="N35" s="6"/>
      <c r="O35" s="6"/>
      <c r="P35" s="539" t="s">
        <v>253</v>
      </c>
      <c r="Q35" s="540"/>
      <c r="R35" s="540"/>
      <c r="S35" s="159"/>
      <c r="T35" s="159"/>
      <c r="U35" s="160"/>
      <c r="V35" s="6"/>
      <c r="W35" s="6"/>
      <c r="X35" s="148"/>
      <c r="Y35" s="6"/>
      <c r="Z35" s="6"/>
      <c r="AA35" s="210">
        <v>3</v>
      </c>
      <c r="AB35" s="556" t="s">
        <v>234</v>
      </c>
      <c r="AC35" s="538"/>
      <c r="AD35" s="285" t="b">
        <v>1</v>
      </c>
      <c r="AE35" s="285" t="b">
        <v>1</v>
      </c>
      <c r="AF35" s="286" t="b">
        <v>1</v>
      </c>
      <c r="AG35" s="6"/>
      <c r="AH35" s="6"/>
      <c r="AI35" s="148"/>
      <c r="AJ35" s="6"/>
      <c r="AK35" s="6"/>
      <c r="AL35" s="238">
        <v>1</v>
      </c>
      <c r="AM35" s="520" t="s">
        <v>246</v>
      </c>
      <c r="AN35" s="521"/>
      <c r="AO35" s="239" t="b">
        <v>1</v>
      </c>
      <c r="AP35" s="239" t="b">
        <v>1</v>
      </c>
      <c r="AQ35" s="240" t="b">
        <v>1</v>
      </c>
      <c r="AR35" s="6"/>
      <c r="AS35" s="6"/>
      <c r="AT35" s="148"/>
      <c r="AU35" s="6"/>
      <c r="AV35" s="6"/>
      <c r="AW35" s="183">
        <v>2</v>
      </c>
      <c r="AX35" s="560" t="s">
        <v>254</v>
      </c>
      <c r="AY35" s="491"/>
      <c r="AZ35" s="312" t="s">
        <v>58</v>
      </c>
      <c r="BA35" s="275" t="b">
        <v>1</v>
      </c>
      <c r="BB35" s="276" t="b">
        <v>1</v>
      </c>
      <c r="BC35" s="6"/>
      <c r="BD35" s="6"/>
      <c r="BE35" s="148"/>
      <c r="BF35" s="6"/>
      <c r="BG35" s="6"/>
      <c r="BH35" s="258">
        <v>2</v>
      </c>
      <c r="BI35" s="599" t="s">
        <v>87</v>
      </c>
      <c r="BJ35" s="600"/>
      <c r="BK35" s="259" t="b">
        <v>1</v>
      </c>
      <c r="BL35" s="259" t="b">
        <v>1</v>
      </c>
      <c r="BM35" s="260" t="b">
        <v>1</v>
      </c>
      <c r="BN35" s="6"/>
      <c r="BO35" s="6"/>
      <c r="BP35" s="148"/>
      <c r="BQ35" s="6"/>
      <c r="BR35" s="6"/>
      <c r="BS35" s="623" t="s">
        <v>248</v>
      </c>
      <c r="BT35" s="624"/>
      <c r="BU35" s="624"/>
      <c r="BV35" s="324"/>
      <c r="BW35" s="324"/>
      <c r="BX35" s="325"/>
      <c r="BY35" s="6"/>
      <c r="BZ35" s="6"/>
      <c r="CA35" s="148"/>
    </row>
    <row r="36" spans="1:79" ht="22.5" customHeight="1">
      <c r="A36" s="148"/>
      <c r="B36" s="6"/>
      <c r="C36" s="6"/>
      <c r="D36" s="230">
        <v>9</v>
      </c>
      <c r="E36" s="510" t="s">
        <v>255</v>
      </c>
      <c r="F36" s="487"/>
      <c r="G36" s="317" t="s">
        <v>58</v>
      </c>
      <c r="H36" s="317" t="s">
        <v>58</v>
      </c>
      <c r="I36" s="251" t="b">
        <v>1</v>
      </c>
      <c r="J36" s="6"/>
      <c r="K36" s="6"/>
      <c r="L36" s="148"/>
      <c r="M36" s="148"/>
      <c r="N36" s="6"/>
      <c r="O36" s="6"/>
      <c r="P36" s="326">
        <v>1</v>
      </c>
      <c r="Q36" s="555" t="s">
        <v>256</v>
      </c>
      <c r="R36" s="533"/>
      <c r="S36" s="327" t="s">
        <v>257</v>
      </c>
      <c r="T36" s="327" t="s">
        <v>258</v>
      </c>
      <c r="U36" s="328" t="s">
        <v>258</v>
      </c>
      <c r="V36" s="6"/>
      <c r="W36" s="6"/>
      <c r="X36" s="148"/>
      <c r="Y36" s="6"/>
      <c r="Z36" s="6"/>
      <c r="AA36" s="6"/>
      <c r="AB36" s="6"/>
      <c r="AC36" s="6"/>
      <c r="AD36" s="6"/>
      <c r="AE36" s="6"/>
      <c r="AF36" s="6"/>
      <c r="AG36" s="6"/>
      <c r="AH36" s="6"/>
      <c r="AI36" s="148"/>
      <c r="AJ36" s="6"/>
      <c r="AK36" s="6"/>
      <c r="AL36" s="180">
        <v>2</v>
      </c>
      <c r="AM36" s="523" t="s">
        <v>250</v>
      </c>
      <c r="AN36" s="513"/>
      <c r="AO36" s="256" t="b">
        <v>1</v>
      </c>
      <c r="AP36" s="256" t="b">
        <v>1</v>
      </c>
      <c r="AQ36" s="257" t="b">
        <v>1</v>
      </c>
      <c r="AR36" s="6"/>
      <c r="AS36" s="6"/>
      <c r="AT36" s="148"/>
      <c r="AU36" s="6"/>
      <c r="AV36" s="6"/>
      <c r="AW36" s="183">
        <v>2</v>
      </c>
      <c r="AX36" s="560" t="s">
        <v>259</v>
      </c>
      <c r="AY36" s="491"/>
      <c r="AZ36" s="312" t="s">
        <v>58</v>
      </c>
      <c r="BA36" s="275" t="b">
        <v>1</v>
      </c>
      <c r="BB36" s="276" t="b">
        <v>1</v>
      </c>
      <c r="BC36" s="6"/>
      <c r="BD36" s="6"/>
      <c r="BE36" s="148"/>
      <c r="BF36" s="6"/>
      <c r="BG36" s="6"/>
      <c r="BH36" s="258">
        <v>3</v>
      </c>
      <c r="BI36" s="599" t="s">
        <v>88</v>
      </c>
      <c r="BJ36" s="600"/>
      <c r="BK36" s="259" t="b">
        <v>1</v>
      </c>
      <c r="BL36" s="259" t="b">
        <v>1</v>
      </c>
      <c r="BM36" s="260" t="b">
        <v>1</v>
      </c>
      <c r="BN36" s="6"/>
      <c r="BO36" s="6"/>
      <c r="BP36" s="148"/>
      <c r="BQ36" s="6"/>
      <c r="BR36" s="6"/>
      <c r="BS36" s="305">
        <v>1</v>
      </c>
      <c r="BT36" s="548" t="s">
        <v>86</v>
      </c>
      <c r="BU36" s="549"/>
      <c r="BV36" s="306" t="b">
        <v>1</v>
      </c>
      <c r="BW36" s="306" t="b">
        <v>1</v>
      </c>
      <c r="BX36" s="307" t="b">
        <v>1</v>
      </c>
      <c r="BY36" s="6"/>
      <c r="BZ36" s="6"/>
      <c r="CA36" s="148"/>
    </row>
    <row r="37" spans="1:79" ht="22.5" customHeight="1">
      <c r="A37" s="148"/>
      <c r="B37" s="6"/>
      <c r="C37" s="6"/>
      <c r="D37" s="230">
        <v>10</v>
      </c>
      <c r="E37" s="510" t="s">
        <v>260</v>
      </c>
      <c r="F37" s="487"/>
      <c r="G37" s="317" t="s">
        <v>58</v>
      </c>
      <c r="H37" s="317" t="s">
        <v>58</v>
      </c>
      <c r="I37" s="251" t="b">
        <v>1</v>
      </c>
      <c r="J37" s="6"/>
      <c r="K37" s="6"/>
      <c r="L37" s="148"/>
      <c r="M37" s="148"/>
      <c r="N37" s="6"/>
      <c r="O37" s="6"/>
      <c r="P37" s="329">
        <v>2</v>
      </c>
      <c r="Q37" s="569" t="s">
        <v>261</v>
      </c>
      <c r="R37" s="536"/>
      <c r="S37" s="208" t="s">
        <v>262</v>
      </c>
      <c r="T37" s="208" t="s">
        <v>263</v>
      </c>
      <c r="U37" s="209" t="s">
        <v>263</v>
      </c>
      <c r="V37" s="6"/>
      <c r="W37" s="6"/>
      <c r="X37" s="148"/>
      <c r="Y37" s="6"/>
      <c r="Z37" s="6"/>
      <c r="AA37" s="541" t="s">
        <v>213</v>
      </c>
      <c r="AB37" s="542"/>
      <c r="AC37" s="542"/>
      <c r="AD37" s="330"/>
      <c r="AE37" s="330"/>
      <c r="AF37" s="331"/>
      <c r="AG37" s="6"/>
      <c r="AH37" s="6"/>
      <c r="AI37" s="148"/>
      <c r="AJ37" s="6"/>
      <c r="AK37" s="6"/>
      <c r="AL37" s="225">
        <v>3</v>
      </c>
      <c r="AM37" s="633" t="s">
        <v>234</v>
      </c>
      <c r="AN37" s="517"/>
      <c r="AO37" s="273" t="b">
        <v>1</v>
      </c>
      <c r="AP37" s="273" t="b">
        <v>1</v>
      </c>
      <c r="AQ37" s="274" t="b">
        <v>1</v>
      </c>
      <c r="AR37" s="6"/>
      <c r="AS37" s="6"/>
      <c r="AT37" s="148"/>
      <c r="AU37" s="6"/>
      <c r="AV37" s="6"/>
      <c r="AW37" s="213">
        <v>3</v>
      </c>
      <c r="AX37" s="561" t="s">
        <v>264</v>
      </c>
      <c r="AY37" s="515"/>
      <c r="AZ37" s="332" t="s">
        <v>58</v>
      </c>
      <c r="BA37" s="298" t="b">
        <v>1</v>
      </c>
      <c r="BB37" s="299" t="b">
        <v>1</v>
      </c>
      <c r="BC37" s="6"/>
      <c r="BD37" s="6"/>
      <c r="BE37" s="148"/>
      <c r="BF37" s="6"/>
      <c r="BG37" s="6"/>
      <c r="BH37" s="258">
        <v>4</v>
      </c>
      <c r="BI37" s="599" t="s">
        <v>89</v>
      </c>
      <c r="BJ37" s="600"/>
      <c r="BK37" s="280" t="s">
        <v>58</v>
      </c>
      <c r="BL37" s="259" t="b">
        <v>1</v>
      </c>
      <c r="BM37" s="260" t="b">
        <v>1</v>
      </c>
      <c r="BN37" s="6"/>
      <c r="BO37" s="6"/>
      <c r="BP37" s="148"/>
      <c r="BQ37" s="6"/>
      <c r="BR37" s="6"/>
      <c r="BS37" s="309">
        <v>2</v>
      </c>
      <c r="BT37" s="547" t="s">
        <v>87</v>
      </c>
      <c r="BU37" s="495"/>
      <c r="BV37" s="310" t="b">
        <v>1</v>
      </c>
      <c r="BW37" s="310" t="b">
        <v>1</v>
      </c>
      <c r="BX37" s="311" t="b">
        <v>1</v>
      </c>
      <c r="BY37" s="6"/>
      <c r="BZ37" s="6"/>
      <c r="CA37" s="148"/>
    </row>
    <row r="38" spans="1:79" ht="22.5" customHeight="1">
      <c r="A38" s="148"/>
      <c r="B38" s="6"/>
      <c r="C38" s="6"/>
      <c r="D38" s="289">
        <v>11</v>
      </c>
      <c r="E38" s="570" t="s">
        <v>265</v>
      </c>
      <c r="F38" s="507"/>
      <c r="G38" s="333" t="s">
        <v>58</v>
      </c>
      <c r="H38" s="333" t="s">
        <v>58</v>
      </c>
      <c r="I38" s="291" t="b">
        <v>1</v>
      </c>
      <c r="J38" s="6"/>
      <c r="K38" s="6"/>
      <c r="L38" s="148"/>
      <c r="M38" s="148"/>
      <c r="N38" s="6"/>
      <c r="O38" s="6"/>
      <c r="P38" s="6"/>
      <c r="Q38" s="6"/>
      <c r="R38" s="6"/>
      <c r="S38" s="6"/>
      <c r="T38" s="6"/>
      <c r="U38" s="6"/>
      <c r="V38" s="6"/>
      <c r="W38" s="6"/>
      <c r="X38" s="148"/>
      <c r="Y38" s="6"/>
      <c r="Z38" s="6"/>
      <c r="AA38" s="177">
        <v>1</v>
      </c>
      <c r="AB38" s="543" t="s">
        <v>77</v>
      </c>
      <c r="AC38" s="489"/>
      <c r="AD38" s="236" t="b">
        <v>1</v>
      </c>
      <c r="AE38" s="236" t="b">
        <v>1</v>
      </c>
      <c r="AF38" s="237" t="b">
        <v>1</v>
      </c>
      <c r="AG38" s="6"/>
      <c r="AH38" s="6"/>
      <c r="AI38" s="148"/>
      <c r="AJ38" s="6"/>
      <c r="AK38" s="6"/>
      <c r="AL38" s="6"/>
      <c r="AM38" s="6"/>
      <c r="AN38" s="6"/>
      <c r="AO38" s="6"/>
      <c r="AP38" s="6"/>
      <c r="AQ38" s="6"/>
      <c r="AR38" s="6"/>
      <c r="AS38" s="6"/>
      <c r="AT38" s="148"/>
      <c r="AU38" s="6"/>
      <c r="AV38" s="6"/>
      <c r="AW38" s="6"/>
      <c r="AX38" s="6"/>
      <c r="AY38" s="6"/>
      <c r="AZ38" s="6"/>
      <c r="BA38" s="6"/>
      <c r="BB38" s="6"/>
      <c r="BC38" s="6"/>
      <c r="BD38" s="6"/>
      <c r="BE38" s="148"/>
      <c r="BF38" s="6"/>
      <c r="BG38" s="6"/>
      <c r="BH38" s="264">
        <v>5</v>
      </c>
      <c r="BI38" s="601" t="s">
        <v>90</v>
      </c>
      <c r="BJ38" s="602"/>
      <c r="BK38" s="630" t="s">
        <v>266</v>
      </c>
      <c r="BL38" s="631"/>
      <c r="BM38" s="632"/>
      <c r="BN38" s="6"/>
      <c r="BO38" s="6"/>
      <c r="BP38" s="148"/>
      <c r="BQ38" s="6"/>
      <c r="BR38" s="6"/>
      <c r="BS38" s="309">
        <v>3</v>
      </c>
      <c r="BT38" s="547" t="s">
        <v>88</v>
      </c>
      <c r="BU38" s="495"/>
      <c r="BV38" s="310" t="b">
        <v>1</v>
      </c>
      <c r="BW38" s="310" t="b">
        <v>1</v>
      </c>
      <c r="BX38" s="311" t="b">
        <v>1</v>
      </c>
      <c r="BY38" s="6"/>
      <c r="BZ38" s="6"/>
      <c r="CA38" s="148"/>
    </row>
    <row r="39" spans="1:79" ht="13">
      <c r="A39" s="148"/>
      <c r="B39" s="6"/>
      <c r="C39" s="6"/>
      <c r="D39" s="6"/>
      <c r="E39" s="6"/>
      <c r="F39" s="6"/>
      <c r="G39" s="6"/>
      <c r="H39" s="6"/>
      <c r="I39" s="6"/>
      <c r="J39" s="6"/>
      <c r="K39" s="6"/>
      <c r="L39" s="148"/>
      <c r="M39" s="148"/>
      <c r="N39" s="6"/>
      <c r="O39" s="6"/>
      <c r="P39" s="539" t="s">
        <v>213</v>
      </c>
      <c r="Q39" s="540"/>
      <c r="R39" s="540"/>
      <c r="S39" s="159"/>
      <c r="T39" s="159"/>
      <c r="U39" s="160"/>
      <c r="V39" s="6"/>
      <c r="W39" s="6"/>
      <c r="X39" s="148"/>
      <c r="Y39" s="6"/>
      <c r="Z39" s="6"/>
      <c r="AA39" s="197">
        <v>2</v>
      </c>
      <c r="AB39" s="522" t="s">
        <v>79</v>
      </c>
      <c r="AC39" s="497"/>
      <c r="AD39" s="254" t="b">
        <v>1</v>
      </c>
      <c r="AE39" s="254" t="b">
        <v>1</v>
      </c>
      <c r="AF39" s="255" t="b">
        <v>1</v>
      </c>
      <c r="AG39" s="6"/>
      <c r="AH39" s="6"/>
      <c r="AI39" s="148"/>
      <c r="AJ39" s="6"/>
      <c r="AK39" s="6"/>
      <c r="AL39" s="541" t="s">
        <v>213</v>
      </c>
      <c r="AM39" s="542"/>
      <c r="AN39" s="542"/>
      <c r="AO39" s="334"/>
      <c r="AP39" s="334"/>
      <c r="AQ39" s="335"/>
      <c r="AR39" s="6"/>
      <c r="AS39" s="6"/>
      <c r="AT39" s="148"/>
      <c r="AU39" s="6"/>
      <c r="AV39" s="6"/>
      <c r="AW39" s="524" t="s">
        <v>213</v>
      </c>
      <c r="AX39" s="525"/>
      <c r="AY39" s="525"/>
      <c r="AZ39" s="336"/>
      <c r="BA39" s="336"/>
      <c r="BB39" s="337"/>
      <c r="BC39" s="6"/>
      <c r="BD39" s="6"/>
      <c r="BE39" s="148"/>
      <c r="BF39" s="6"/>
      <c r="BG39" s="6"/>
      <c r="BH39" s="6"/>
      <c r="BI39" s="6"/>
      <c r="BJ39" s="6"/>
      <c r="BK39" s="6"/>
      <c r="BL39" s="6"/>
      <c r="BM39" s="6"/>
      <c r="BN39" s="6"/>
      <c r="BO39" s="6"/>
      <c r="BP39" s="148"/>
      <c r="BQ39" s="6"/>
      <c r="BR39" s="6"/>
      <c r="BS39" s="309">
        <v>4</v>
      </c>
      <c r="BT39" s="547" t="s">
        <v>89</v>
      </c>
      <c r="BU39" s="495"/>
      <c r="BV39" s="314" t="s">
        <v>58</v>
      </c>
      <c r="BW39" s="310" t="b">
        <v>1</v>
      </c>
      <c r="BX39" s="311" t="b">
        <v>1</v>
      </c>
      <c r="BY39" s="6"/>
      <c r="BZ39" s="6"/>
      <c r="CA39" s="148"/>
    </row>
    <row r="40" spans="1:79" ht="37.5" customHeight="1">
      <c r="A40" s="148"/>
      <c r="B40" s="6"/>
      <c r="C40" s="6"/>
      <c r="D40" s="508" t="s">
        <v>267</v>
      </c>
      <c r="E40" s="509"/>
      <c r="F40" s="509"/>
      <c r="G40" s="157"/>
      <c r="H40" s="157"/>
      <c r="I40" s="158"/>
      <c r="J40" s="6"/>
      <c r="K40" s="6"/>
      <c r="L40" s="148"/>
      <c r="M40" s="148"/>
      <c r="N40" s="6"/>
      <c r="O40" s="6"/>
      <c r="P40" s="326">
        <v>1</v>
      </c>
      <c r="Q40" s="555" t="s">
        <v>77</v>
      </c>
      <c r="R40" s="533"/>
      <c r="S40" s="234" t="b">
        <v>1</v>
      </c>
      <c r="T40" s="234" t="b">
        <v>1</v>
      </c>
      <c r="U40" s="235" t="b">
        <v>1</v>
      </c>
      <c r="V40" s="6"/>
      <c r="W40" s="6"/>
      <c r="X40" s="148"/>
      <c r="Y40" s="6"/>
      <c r="Z40" s="6"/>
      <c r="AA40" s="197">
        <v>3</v>
      </c>
      <c r="AB40" s="522" t="s">
        <v>80</v>
      </c>
      <c r="AC40" s="497"/>
      <c r="AD40" s="254" t="b">
        <v>1</v>
      </c>
      <c r="AE40" s="254" t="b">
        <v>1</v>
      </c>
      <c r="AF40" s="255" t="b">
        <v>1</v>
      </c>
      <c r="AG40" s="6"/>
      <c r="AH40" s="6"/>
      <c r="AI40" s="148"/>
      <c r="AJ40" s="6"/>
      <c r="AK40" s="6"/>
      <c r="AL40" s="177">
        <v>1</v>
      </c>
      <c r="AM40" s="543" t="s">
        <v>77</v>
      </c>
      <c r="AN40" s="489"/>
      <c r="AO40" s="338" t="b">
        <v>1</v>
      </c>
      <c r="AP40" s="338" t="b">
        <v>1</v>
      </c>
      <c r="AQ40" s="339" t="b">
        <v>1</v>
      </c>
      <c r="AR40" s="6"/>
      <c r="AS40" s="6"/>
      <c r="AT40" s="148"/>
      <c r="AU40" s="6"/>
      <c r="AV40" s="6"/>
      <c r="AW40" s="267">
        <v>1</v>
      </c>
      <c r="AX40" s="526" t="s">
        <v>77</v>
      </c>
      <c r="AY40" s="527"/>
      <c r="AZ40" s="268" t="b">
        <v>1</v>
      </c>
      <c r="BA40" s="268" t="b">
        <v>1</v>
      </c>
      <c r="BB40" s="269" t="b">
        <v>1</v>
      </c>
      <c r="BC40" s="6"/>
      <c r="BD40" s="6"/>
      <c r="BE40" s="148"/>
      <c r="BF40" s="6"/>
      <c r="BG40" s="340"/>
      <c r="BH40" s="340"/>
      <c r="BI40" s="340"/>
      <c r="BJ40" s="340"/>
      <c r="BK40" s="340"/>
      <c r="BL40" s="340"/>
      <c r="BM40" s="340"/>
      <c r="BN40" s="340"/>
      <c r="BO40" s="6"/>
      <c r="BP40" s="148"/>
      <c r="BQ40" s="6"/>
      <c r="BR40" s="6"/>
      <c r="BS40" s="320">
        <v>5</v>
      </c>
      <c r="BT40" s="550" t="s">
        <v>90</v>
      </c>
      <c r="BU40" s="507"/>
      <c r="BV40" s="551" t="s">
        <v>266</v>
      </c>
      <c r="BW40" s="552"/>
      <c r="BX40" s="553"/>
      <c r="BY40" s="6"/>
      <c r="BZ40" s="6"/>
      <c r="CA40" s="148"/>
    </row>
    <row r="41" spans="1:79" ht="22.5" customHeight="1">
      <c r="A41" s="148"/>
      <c r="B41" s="6"/>
      <c r="C41" s="6"/>
      <c r="D41" s="230">
        <v>1</v>
      </c>
      <c r="E41" s="510" t="s">
        <v>268</v>
      </c>
      <c r="F41" s="487"/>
      <c r="G41" s="231" t="b">
        <v>1</v>
      </c>
      <c r="H41" s="231" t="b">
        <v>1</v>
      </c>
      <c r="I41" s="232" t="b">
        <v>1</v>
      </c>
      <c r="J41" s="6"/>
      <c r="K41" s="6"/>
      <c r="L41" s="148"/>
      <c r="M41" s="148"/>
      <c r="N41" s="6"/>
      <c r="O41" s="6"/>
      <c r="P41" s="341">
        <v>2</v>
      </c>
      <c r="Q41" s="567" t="s">
        <v>79</v>
      </c>
      <c r="R41" s="499"/>
      <c r="S41" s="252" t="b">
        <v>1</v>
      </c>
      <c r="T41" s="252" t="b">
        <v>1</v>
      </c>
      <c r="U41" s="253" t="b">
        <v>1</v>
      </c>
      <c r="V41" s="6"/>
      <c r="W41" s="6"/>
      <c r="X41" s="148"/>
      <c r="Y41" s="6"/>
      <c r="Z41" s="6"/>
      <c r="AA41" s="197">
        <v>4</v>
      </c>
      <c r="AB41" s="522" t="s">
        <v>81</v>
      </c>
      <c r="AC41" s="497"/>
      <c r="AD41" s="342" t="s">
        <v>58</v>
      </c>
      <c r="AE41" s="254" t="b">
        <v>1</v>
      </c>
      <c r="AF41" s="255" t="b">
        <v>1</v>
      </c>
      <c r="AG41" s="6"/>
      <c r="AH41" s="6"/>
      <c r="AI41" s="148"/>
      <c r="AJ41" s="6"/>
      <c r="AK41" s="6"/>
      <c r="AL41" s="197">
        <v>2</v>
      </c>
      <c r="AM41" s="522" t="s">
        <v>79</v>
      </c>
      <c r="AN41" s="497"/>
      <c r="AO41" s="343" t="b">
        <v>1</v>
      </c>
      <c r="AP41" s="343" t="b">
        <v>1</v>
      </c>
      <c r="AQ41" s="344" t="b">
        <v>1</v>
      </c>
      <c r="AR41" s="6"/>
      <c r="AS41" s="6"/>
      <c r="AT41" s="148"/>
      <c r="AU41" s="6"/>
      <c r="AV41" s="6"/>
      <c r="AW41" s="183">
        <v>2</v>
      </c>
      <c r="AX41" s="560" t="s">
        <v>79</v>
      </c>
      <c r="AY41" s="491"/>
      <c r="AZ41" s="275" t="b">
        <v>1</v>
      </c>
      <c r="BA41" s="275" t="b">
        <v>1</v>
      </c>
      <c r="BB41" s="276" t="b">
        <v>1</v>
      </c>
      <c r="BC41" s="6"/>
      <c r="BD41" s="6"/>
      <c r="BE41" s="148"/>
      <c r="BF41" s="6"/>
      <c r="BG41" s="340"/>
      <c r="BH41" s="340"/>
      <c r="BI41" s="340"/>
      <c r="BJ41" s="340"/>
      <c r="BK41" s="340"/>
      <c r="BL41" s="340"/>
      <c r="BM41" s="340"/>
      <c r="BN41" s="340"/>
      <c r="BO41" s="6"/>
      <c r="BP41" s="148"/>
      <c r="BQ41" s="6"/>
      <c r="BR41" s="6"/>
      <c r="BS41" s="6"/>
      <c r="BT41" s="6"/>
      <c r="BU41" s="6"/>
      <c r="BV41" s="6"/>
      <c r="BW41" s="6"/>
      <c r="BX41" s="6"/>
      <c r="BY41" s="6"/>
      <c r="BZ41" s="6"/>
      <c r="CA41" s="148"/>
    </row>
    <row r="42" spans="1:79" ht="22.5" customHeight="1">
      <c r="A42" s="148"/>
      <c r="B42" s="6"/>
      <c r="C42" s="6"/>
      <c r="D42" s="230">
        <v>2</v>
      </c>
      <c r="E42" s="511" t="s">
        <v>269</v>
      </c>
      <c r="F42" s="495"/>
      <c r="G42" s="250" t="b">
        <v>1</v>
      </c>
      <c r="H42" s="250" t="b">
        <v>1</v>
      </c>
      <c r="I42" s="251" t="b">
        <v>1</v>
      </c>
      <c r="J42" s="6"/>
      <c r="K42" s="6"/>
      <c r="L42" s="148"/>
      <c r="M42" s="148"/>
      <c r="N42" s="6"/>
      <c r="O42" s="6"/>
      <c r="P42" s="341">
        <v>3</v>
      </c>
      <c r="Q42" s="567" t="s">
        <v>80</v>
      </c>
      <c r="R42" s="499"/>
      <c r="S42" s="252" t="b">
        <v>1</v>
      </c>
      <c r="T42" s="252" t="b">
        <v>1</v>
      </c>
      <c r="U42" s="253" t="b">
        <v>1</v>
      </c>
      <c r="V42" s="6"/>
      <c r="W42" s="6"/>
      <c r="X42" s="148"/>
      <c r="Y42" s="6"/>
      <c r="Z42" s="6"/>
      <c r="AA42" s="197">
        <v>5</v>
      </c>
      <c r="AB42" s="522" t="s">
        <v>82</v>
      </c>
      <c r="AC42" s="497"/>
      <c r="AD42" s="342" t="s">
        <v>58</v>
      </c>
      <c r="AE42" s="254" t="b">
        <v>1</v>
      </c>
      <c r="AF42" s="255" t="b">
        <v>1</v>
      </c>
      <c r="AG42" s="6"/>
      <c r="AH42" s="6"/>
      <c r="AI42" s="148"/>
      <c r="AJ42" s="6"/>
      <c r="AK42" s="6"/>
      <c r="AL42" s="197">
        <v>3</v>
      </c>
      <c r="AM42" s="522" t="s">
        <v>80</v>
      </c>
      <c r="AN42" s="497"/>
      <c r="AO42" s="343" t="b">
        <v>1</v>
      </c>
      <c r="AP42" s="343" t="b">
        <v>1</v>
      </c>
      <c r="AQ42" s="344" t="b">
        <v>1</v>
      </c>
      <c r="AR42" s="6"/>
      <c r="AS42" s="6"/>
      <c r="AT42" s="148"/>
      <c r="AU42" s="6"/>
      <c r="AV42" s="6"/>
      <c r="AW42" s="183">
        <v>3</v>
      </c>
      <c r="AX42" s="560" t="s">
        <v>80</v>
      </c>
      <c r="AY42" s="491"/>
      <c r="AZ42" s="275" t="b">
        <v>1</v>
      </c>
      <c r="BA42" s="275" t="b">
        <v>1</v>
      </c>
      <c r="BB42" s="276" t="b">
        <v>1</v>
      </c>
      <c r="BC42" s="6"/>
      <c r="BD42" s="6"/>
      <c r="BE42" s="148"/>
      <c r="BF42" s="6"/>
      <c r="BG42" s="340"/>
      <c r="BH42" s="340"/>
      <c r="BI42" s="340"/>
      <c r="BJ42" s="340"/>
      <c r="BK42" s="340"/>
      <c r="BL42" s="340"/>
      <c r="BM42" s="340"/>
      <c r="BN42" s="340"/>
      <c r="BO42" s="6"/>
      <c r="BP42" s="148"/>
      <c r="BQ42" s="6"/>
      <c r="BR42" s="340"/>
      <c r="BS42" s="340"/>
      <c r="BT42" s="340"/>
      <c r="BU42" s="340"/>
      <c r="BV42" s="340"/>
      <c r="BW42" s="340"/>
      <c r="BX42" s="340"/>
      <c r="BY42" s="340"/>
      <c r="BZ42" s="6"/>
      <c r="CA42" s="148"/>
    </row>
    <row r="43" spans="1:79" ht="22.5" customHeight="1">
      <c r="A43" s="148"/>
      <c r="B43" s="6"/>
      <c r="C43" s="6"/>
      <c r="D43" s="289">
        <v>3</v>
      </c>
      <c r="E43" s="565" t="s">
        <v>270</v>
      </c>
      <c r="F43" s="566"/>
      <c r="G43" s="290" t="b">
        <v>1</v>
      </c>
      <c r="H43" s="290" t="b">
        <v>1</v>
      </c>
      <c r="I43" s="291" t="b">
        <v>1</v>
      </c>
      <c r="J43" s="6"/>
      <c r="K43" s="6"/>
      <c r="L43" s="148"/>
      <c r="M43" s="148"/>
      <c r="N43" s="6"/>
      <c r="O43" s="6"/>
      <c r="P43" s="341">
        <v>4</v>
      </c>
      <c r="Q43" s="567" t="s">
        <v>81</v>
      </c>
      <c r="R43" s="499"/>
      <c r="S43" s="300" t="s">
        <v>58</v>
      </c>
      <c r="T43" s="252" t="b">
        <v>1</v>
      </c>
      <c r="U43" s="253" t="b">
        <v>1</v>
      </c>
      <c r="V43" s="6"/>
      <c r="W43" s="6"/>
      <c r="X43" s="148"/>
      <c r="Y43" s="6"/>
      <c r="Z43" s="6"/>
      <c r="AA43" s="210">
        <v>6</v>
      </c>
      <c r="AB43" s="556" t="s">
        <v>83</v>
      </c>
      <c r="AC43" s="538"/>
      <c r="AD43" s="345" t="s">
        <v>58</v>
      </c>
      <c r="AE43" s="345" t="s">
        <v>58</v>
      </c>
      <c r="AF43" s="286" t="b">
        <v>1</v>
      </c>
      <c r="AG43" s="6"/>
      <c r="AH43" s="6"/>
      <c r="AI43" s="148"/>
      <c r="AJ43" s="6"/>
      <c r="AK43" s="6"/>
      <c r="AL43" s="197">
        <v>4</v>
      </c>
      <c r="AM43" s="522" t="s">
        <v>81</v>
      </c>
      <c r="AN43" s="497"/>
      <c r="AO43" s="346" t="s">
        <v>58</v>
      </c>
      <c r="AP43" s="343" t="b">
        <v>1</v>
      </c>
      <c r="AQ43" s="344" t="b">
        <v>1</v>
      </c>
      <c r="AR43" s="6"/>
      <c r="AS43" s="6"/>
      <c r="AT43" s="148"/>
      <c r="AU43" s="6"/>
      <c r="AV43" s="6"/>
      <c r="AW43" s="183">
        <v>4</v>
      </c>
      <c r="AX43" s="560" t="s">
        <v>81</v>
      </c>
      <c r="AY43" s="491"/>
      <c r="AZ43" s="347" t="s">
        <v>58</v>
      </c>
      <c r="BA43" s="275" t="b">
        <v>1</v>
      </c>
      <c r="BB43" s="276" t="b">
        <v>1</v>
      </c>
      <c r="BC43" s="6"/>
      <c r="BD43" s="6"/>
      <c r="BE43" s="148"/>
      <c r="BF43" s="6"/>
      <c r="BG43" s="340"/>
      <c r="BH43" s="340"/>
      <c r="BI43" s="340"/>
      <c r="BJ43" s="340"/>
      <c r="BK43" s="340"/>
      <c r="BL43" s="340"/>
      <c r="BM43" s="340"/>
      <c r="BN43" s="340"/>
      <c r="BO43" s="6"/>
      <c r="BP43" s="148"/>
      <c r="BQ43" s="6"/>
      <c r="BR43" s="340"/>
      <c r="BS43" s="340"/>
      <c r="BT43" s="340"/>
      <c r="BU43" s="340"/>
      <c r="BV43" s="340"/>
      <c r="BW43" s="340"/>
      <c r="BX43" s="340"/>
      <c r="BY43" s="340"/>
      <c r="BZ43" s="6"/>
      <c r="CA43" s="148"/>
    </row>
    <row r="44" spans="1:79" ht="12.5">
      <c r="A44" s="148"/>
      <c r="B44" s="6"/>
      <c r="C44" s="6"/>
      <c r="D44" s="6"/>
      <c r="E44" s="6"/>
      <c r="F44" s="6"/>
      <c r="G44" s="6"/>
      <c r="H44" s="6"/>
      <c r="I44" s="6"/>
      <c r="J44" s="6"/>
      <c r="K44" s="6"/>
      <c r="L44" s="148"/>
      <c r="M44" s="148"/>
      <c r="N44" s="6"/>
      <c r="O44" s="6"/>
      <c r="P44" s="341">
        <v>5</v>
      </c>
      <c r="Q44" s="567" t="s">
        <v>82</v>
      </c>
      <c r="R44" s="499"/>
      <c r="S44" s="300" t="s">
        <v>58</v>
      </c>
      <c r="T44" s="252" t="b">
        <v>1</v>
      </c>
      <c r="U44" s="253" t="b">
        <v>1</v>
      </c>
      <c r="V44" s="6"/>
      <c r="W44" s="6"/>
      <c r="X44" s="148"/>
      <c r="Y44" s="6"/>
      <c r="Z44" s="6"/>
      <c r="AA44" s="6"/>
      <c r="AB44" s="6"/>
      <c r="AC44" s="6"/>
      <c r="AD44" s="348"/>
      <c r="AE44" s="348"/>
      <c r="AF44" s="348"/>
      <c r="AG44" s="6"/>
      <c r="AH44" s="6"/>
      <c r="AI44" s="148"/>
      <c r="AJ44" s="6"/>
      <c r="AK44" s="6"/>
      <c r="AL44" s="197">
        <v>5</v>
      </c>
      <c r="AM44" s="522" t="s">
        <v>82</v>
      </c>
      <c r="AN44" s="497"/>
      <c r="AO44" s="346" t="s">
        <v>58</v>
      </c>
      <c r="AP44" s="343" t="b">
        <v>1</v>
      </c>
      <c r="AQ44" s="344" t="b">
        <v>1</v>
      </c>
      <c r="AR44" s="6"/>
      <c r="AS44" s="6"/>
      <c r="AT44" s="148"/>
      <c r="AU44" s="6"/>
      <c r="AV44" s="6"/>
      <c r="AW44" s="183">
        <v>5</v>
      </c>
      <c r="AX44" s="560" t="s">
        <v>82</v>
      </c>
      <c r="AY44" s="491"/>
      <c r="AZ44" s="347" t="s">
        <v>58</v>
      </c>
      <c r="BA44" s="275" t="b">
        <v>1</v>
      </c>
      <c r="BB44" s="276" t="b">
        <v>1</v>
      </c>
      <c r="BC44" s="6"/>
      <c r="BD44" s="6"/>
      <c r="BE44" s="148"/>
      <c r="BF44" s="6"/>
      <c r="BG44" s="340"/>
      <c r="BH44" s="340"/>
      <c r="BI44" s="340"/>
      <c r="BJ44" s="340"/>
      <c r="BK44" s="340"/>
      <c r="BL44" s="340"/>
      <c r="BM44" s="340"/>
      <c r="BN44" s="340"/>
      <c r="BO44" s="6"/>
      <c r="BP44" s="148"/>
      <c r="BQ44" s="6"/>
      <c r="BR44" s="340"/>
      <c r="BS44" s="340"/>
      <c r="BT44" s="340"/>
      <c r="BU44" s="340"/>
      <c r="BV44" s="340"/>
      <c r="BW44" s="340"/>
      <c r="BX44" s="340"/>
      <c r="BY44" s="340"/>
      <c r="BZ44" s="6"/>
      <c r="CA44" s="148"/>
    </row>
    <row r="45" spans="1:79" ht="37.5" customHeight="1">
      <c r="A45" s="148"/>
      <c r="B45" s="6"/>
      <c r="C45" s="6"/>
      <c r="D45" s="508" t="s">
        <v>190</v>
      </c>
      <c r="E45" s="509"/>
      <c r="F45" s="509"/>
      <c r="G45" s="157"/>
      <c r="H45" s="157"/>
      <c r="I45" s="158"/>
      <c r="J45" s="6"/>
      <c r="K45" s="6"/>
      <c r="L45" s="148"/>
      <c r="M45" s="148"/>
      <c r="N45" s="6"/>
      <c r="O45" s="6"/>
      <c r="P45" s="329">
        <v>6</v>
      </c>
      <c r="Q45" s="569" t="s">
        <v>83</v>
      </c>
      <c r="R45" s="536"/>
      <c r="S45" s="304" t="s">
        <v>58</v>
      </c>
      <c r="T45" s="349" t="s">
        <v>58</v>
      </c>
      <c r="U45" s="272" t="b">
        <v>1</v>
      </c>
      <c r="V45" s="6"/>
      <c r="W45" s="6"/>
      <c r="X45" s="148"/>
      <c r="Y45" s="6"/>
      <c r="Z45" s="6"/>
      <c r="AA45" s="541" t="s">
        <v>248</v>
      </c>
      <c r="AB45" s="542"/>
      <c r="AC45" s="542"/>
      <c r="AD45" s="330"/>
      <c r="AE45" s="330"/>
      <c r="AF45" s="331"/>
      <c r="AG45" s="6"/>
      <c r="AH45" s="6"/>
      <c r="AI45" s="148"/>
      <c r="AJ45" s="6"/>
      <c r="AK45" s="6"/>
      <c r="AL45" s="210">
        <v>6</v>
      </c>
      <c r="AM45" s="556" t="s">
        <v>83</v>
      </c>
      <c r="AN45" s="538"/>
      <c r="AO45" s="350" t="s">
        <v>58</v>
      </c>
      <c r="AP45" s="350" t="s">
        <v>58</v>
      </c>
      <c r="AQ45" s="351" t="b">
        <v>1</v>
      </c>
      <c r="AR45" s="6"/>
      <c r="AS45" s="6"/>
      <c r="AT45" s="148"/>
      <c r="AU45" s="6"/>
      <c r="AV45" s="6"/>
      <c r="AW45" s="213">
        <v>6</v>
      </c>
      <c r="AX45" s="561" t="s">
        <v>83</v>
      </c>
      <c r="AY45" s="515"/>
      <c r="AZ45" s="352" t="s">
        <v>58</v>
      </c>
      <c r="BA45" s="352" t="s">
        <v>58</v>
      </c>
      <c r="BB45" s="299" t="b">
        <v>1</v>
      </c>
      <c r="BC45" s="6"/>
      <c r="BD45" s="6"/>
      <c r="BE45" s="148"/>
      <c r="BF45" s="6"/>
      <c r="BG45" s="340"/>
      <c r="BH45" s="340"/>
      <c r="BI45" s="340"/>
      <c r="BJ45" s="340"/>
      <c r="BK45" s="340"/>
      <c r="BL45" s="340"/>
      <c r="BM45" s="340"/>
      <c r="BN45" s="340"/>
      <c r="BO45" s="6"/>
      <c r="BP45" s="148"/>
      <c r="BQ45" s="6"/>
      <c r="BR45" s="340"/>
      <c r="BS45" s="340"/>
      <c r="BT45" s="340"/>
      <c r="BU45" s="340"/>
      <c r="BV45" s="340"/>
      <c r="BW45" s="340"/>
      <c r="BX45" s="340"/>
      <c r="BY45" s="340"/>
      <c r="BZ45" s="6"/>
      <c r="CA45" s="148"/>
    </row>
    <row r="46" spans="1:79" ht="22.5" customHeight="1">
      <c r="A46" s="148"/>
      <c r="B46" s="6"/>
      <c r="C46" s="6"/>
      <c r="D46" s="230">
        <v>1</v>
      </c>
      <c r="E46" s="510" t="s">
        <v>271</v>
      </c>
      <c r="F46" s="487"/>
      <c r="G46" s="231" t="b">
        <v>1</v>
      </c>
      <c r="H46" s="231" t="b">
        <v>1</v>
      </c>
      <c r="I46" s="232" t="b">
        <v>1</v>
      </c>
      <c r="J46" s="6"/>
      <c r="K46" s="6"/>
      <c r="L46" s="148"/>
      <c r="M46" s="148"/>
      <c r="N46" s="6"/>
      <c r="O46" s="6"/>
      <c r="P46" s="6"/>
      <c r="Q46" s="6"/>
      <c r="R46" s="6"/>
      <c r="S46" s="6"/>
      <c r="T46" s="6"/>
      <c r="U46" s="6"/>
      <c r="V46" s="6"/>
      <c r="W46" s="6"/>
      <c r="X46" s="148"/>
      <c r="Y46" s="6"/>
      <c r="Z46" s="6"/>
      <c r="AA46" s="177">
        <v>1</v>
      </c>
      <c r="AB46" s="543" t="s">
        <v>86</v>
      </c>
      <c r="AC46" s="489"/>
      <c r="AD46" s="236" t="b">
        <v>1</v>
      </c>
      <c r="AE46" s="236" t="b">
        <v>1</v>
      </c>
      <c r="AF46" s="237" t="b">
        <v>1</v>
      </c>
      <c r="AG46" s="6"/>
      <c r="AH46" s="6"/>
      <c r="AI46" s="148"/>
      <c r="AJ46" s="6"/>
      <c r="AK46" s="6"/>
      <c r="AL46" s="6"/>
      <c r="AM46" s="6"/>
      <c r="AN46" s="6"/>
      <c r="AO46" s="353"/>
      <c r="AP46" s="353"/>
      <c r="AQ46" s="353"/>
      <c r="AR46" s="6"/>
      <c r="AS46" s="6"/>
      <c r="AT46" s="148"/>
      <c r="AU46" s="6"/>
      <c r="AV46" s="6"/>
      <c r="AW46" s="6"/>
      <c r="AX46" s="6"/>
      <c r="AY46" s="6"/>
      <c r="AZ46" s="354"/>
      <c r="BA46" s="354"/>
      <c r="BB46" s="354"/>
      <c r="BC46" s="6"/>
      <c r="BD46" s="6"/>
      <c r="BE46" s="148"/>
      <c r="BF46" s="6"/>
      <c r="BG46" s="340"/>
      <c r="BH46" s="340"/>
      <c r="BI46" s="340"/>
      <c r="BJ46" s="340"/>
      <c r="BK46" s="340"/>
      <c r="BL46" s="340"/>
      <c r="BM46" s="340"/>
      <c r="BN46" s="340"/>
      <c r="BO46" s="6"/>
      <c r="BP46" s="148"/>
      <c r="BQ46" s="6"/>
      <c r="BR46" s="340"/>
      <c r="BS46" s="340"/>
      <c r="BT46" s="340"/>
      <c r="BU46" s="340"/>
      <c r="BV46" s="340"/>
      <c r="BW46" s="340"/>
      <c r="BX46" s="340"/>
      <c r="BY46" s="340"/>
      <c r="BZ46" s="6"/>
      <c r="CA46" s="148"/>
    </row>
    <row r="47" spans="1:79" ht="22.5" customHeight="1">
      <c r="A47" s="148"/>
      <c r="B47" s="6"/>
      <c r="C47" s="6"/>
      <c r="D47" s="230">
        <v>2</v>
      </c>
      <c r="E47" s="511" t="s">
        <v>272</v>
      </c>
      <c r="F47" s="495"/>
      <c r="G47" s="250" t="b">
        <v>1</v>
      </c>
      <c r="H47" s="250" t="b">
        <v>1</v>
      </c>
      <c r="I47" s="251" t="b">
        <v>1</v>
      </c>
      <c r="J47" s="6"/>
      <c r="K47" s="6"/>
      <c r="L47" s="148"/>
      <c r="M47" s="148"/>
      <c r="N47" s="6"/>
      <c r="O47" s="6"/>
      <c r="P47" s="539" t="s">
        <v>248</v>
      </c>
      <c r="Q47" s="540"/>
      <c r="R47" s="540"/>
      <c r="S47" s="159"/>
      <c r="T47" s="159"/>
      <c r="U47" s="160"/>
      <c r="V47" s="6"/>
      <c r="W47" s="6"/>
      <c r="X47" s="148"/>
      <c r="Y47" s="6"/>
      <c r="Z47" s="6"/>
      <c r="AA47" s="197">
        <v>2</v>
      </c>
      <c r="AB47" s="522" t="s">
        <v>87</v>
      </c>
      <c r="AC47" s="497"/>
      <c r="AD47" s="254" t="b">
        <v>1</v>
      </c>
      <c r="AE47" s="254" t="b">
        <v>1</v>
      </c>
      <c r="AF47" s="255" t="b">
        <v>1</v>
      </c>
      <c r="AG47" s="6"/>
      <c r="AH47" s="6"/>
      <c r="AI47" s="148"/>
      <c r="AJ47" s="6"/>
      <c r="AK47" s="6"/>
      <c r="AL47" s="541" t="s">
        <v>248</v>
      </c>
      <c r="AM47" s="542"/>
      <c r="AN47" s="542"/>
      <c r="AO47" s="334"/>
      <c r="AP47" s="334"/>
      <c r="AQ47" s="335"/>
      <c r="AR47" s="6"/>
      <c r="AS47" s="6"/>
      <c r="AT47" s="148"/>
      <c r="AU47" s="6"/>
      <c r="AV47" s="6"/>
      <c r="AW47" s="524" t="s">
        <v>248</v>
      </c>
      <c r="AX47" s="525"/>
      <c r="AY47" s="525"/>
      <c r="AZ47" s="355"/>
      <c r="BA47" s="355"/>
      <c r="BB47" s="356"/>
      <c r="BC47" s="6"/>
      <c r="BD47" s="6"/>
      <c r="BE47" s="148"/>
      <c r="BF47" s="6"/>
      <c r="BG47" s="340"/>
      <c r="BH47" s="340"/>
      <c r="BI47" s="340"/>
      <c r="BJ47" s="340"/>
      <c r="BK47" s="340"/>
      <c r="BL47" s="340"/>
      <c r="BM47" s="340"/>
      <c r="BN47" s="340"/>
      <c r="BO47" s="6"/>
      <c r="BP47" s="148"/>
      <c r="BQ47" s="6"/>
      <c r="BR47" s="340"/>
      <c r="BS47" s="340"/>
      <c r="BT47" s="340"/>
      <c r="BU47" s="340"/>
      <c r="BV47" s="340"/>
      <c r="BW47" s="340"/>
      <c r="BX47" s="340"/>
      <c r="BY47" s="340"/>
      <c r="BZ47" s="6"/>
      <c r="CA47" s="148"/>
    </row>
    <row r="48" spans="1:79" ht="22.5" customHeight="1">
      <c r="A48" s="148"/>
      <c r="B48" s="6"/>
      <c r="C48" s="6"/>
      <c r="D48" s="289">
        <v>3</v>
      </c>
      <c r="E48" s="565" t="s">
        <v>215</v>
      </c>
      <c r="F48" s="566"/>
      <c r="G48" s="290" t="b">
        <v>1</v>
      </c>
      <c r="H48" s="290" t="b">
        <v>1</v>
      </c>
      <c r="I48" s="291" t="b">
        <v>1</v>
      </c>
      <c r="J48" s="6"/>
      <c r="K48" s="6"/>
      <c r="L48" s="148"/>
      <c r="M48" s="148"/>
      <c r="N48" s="6"/>
      <c r="O48" s="6"/>
      <c r="P48" s="326">
        <v>1</v>
      </c>
      <c r="Q48" s="555" t="s">
        <v>86</v>
      </c>
      <c r="R48" s="533"/>
      <c r="S48" s="234" t="b">
        <v>1</v>
      </c>
      <c r="T48" s="234" t="b">
        <v>1</v>
      </c>
      <c r="U48" s="235" t="b">
        <v>1</v>
      </c>
      <c r="V48" s="6"/>
      <c r="W48" s="6"/>
      <c r="X48" s="148"/>
      <c r="Y48" s="6"/>
      <c r="Z48" s="6"/>
      <c r="AA48" s="197">
        <v>3</v>
      </c>
      <c r="AB48" s="522" t="s">
        <v>88</v>
      </c>
      <c r="AC48" s="497"/>
      <c r="AD48" s="254" t="b">
        <v>1</v>
      </c>
      <c r="AE48" s="254" t="b">
        <v>1</v>
      </c>
      <c r="AF48" s="255" t="b">
        <v>1</v>
      </c>
      <c r="AG48" s="6"/>
      <c r="AH48" s="6"/>
      <c r="AI48" s="148"/>
      <c r="AJ48" s="6"/>
      <c r="AK48" s="6"/>
      <c r="AL48" s="177">
        <v>1</v>
      </c>
      <c r="AM48" s="543" t="s">
        <v>86</v>
      </c>
      <c r="AN48" s="489"/>
      <c r="AO48" s="338" t="b">
        <v>1</v>
      </c>
      <c r="AP48" s="338" t="b">
        <v>1</v>
      </c>
      <c r="AQ48" s="339" t="b">
        <v>1</v>
      </c>
      <c r="AR48" s="6"/>
      <c r="AS48" s="6"/>
      <c r="AT48" s="148"/>
      <c r="AU48" s="6"/>
      <c r="AV48" s="6"/>
      <c r="AW48" s="267">
        <v>1</v>
      </c>
      <c r="AX48" s="526" t="s">
        <v>86</v>
      </c>
      <c r="AY48" s="527"/>
      <c r="AZ48" s="268" t="b">
        <v>1</v>
      </c>
      <c r="BA48" s="268" t="b">
        <v>1</v>
      </c>
      <c r="BB48" s="269" t="b">
        <v>1</v>
      </c>
      <c r="BC48" s="6"/>
      <c r="BD48" s="6"/>
      <c r="BE48" s="148"/>
      <c r="BF48" s="6"/>
      <c r="BG48" s="6"/>
      <c r="BH48" s="340"/>
      <c r="BI48" s="340"/>
      <c r="BJ48" s="340"/>
      <c r="BK48" s="340"/>
      <c r="BL48" s="340"/>
      <c r="BM48" s="340"/>
      <c r="BN48" s="6"/>
      <c r="BO48" s="6"/>
      <c r="BP48" s="148"/>
      <c r="BQ48" s="6"/>
      <c r="BR48" s="340"/>
      <c r="BS48" s="340"/>
      <c r="BT48" s="340"/>
      <c r="BU48" s="340"/>
      <c r="BV48" s="340"/>
      <c r="BW48" s="340"/>
      <c r="BX48" s="340"/>
      <c r="BY48" s="340"/>
      <c r="BZ48" s="6"/>
      <c r="CA48" s="148"/>
    </row>
    <row r="49" spans="1:79" ht="12.5">
      <c r="A49" s="148"/>
      <c r="B49" s="6"/>
      <c r="C49" s="6"/>
      <c r="D49" s="6"/>
      <c r="E49" s="6"/>
      <c r="F49" s="6"/>
      <c r="G49" s="6"/>
      <c r="H49" s="6"/>
      <c r="I49" s="6"/>
      <c r="J49" s="6"/>
      <c r="K49" s="6"/>
      <c r="L49" s="148"/>
      <c r="M49" s="148"/>
      <c r="N49" s="6"/>
      <c r="O49" s="6"/>
      <c r="P49" s="341">
        <v>2</v>
      </c>
      <c r="Q49" s="567" t="s">
        <v>87</v>
      </c>
      <c r="R49" s="499"/>
      <c r="S49" s="252" t="b">
        <v>1</v>
      </c>
      <c r="T49" s="252" t="b">
        <v>1</v>
      </c>
      <c r="U49" s="253" t="b">
        <v>1</v>
      </c>
      <c r="V49" s="6"/>
      <c r="W49" s="6"/>
      <c r="X49" s="148"/>
      <c r="Y49" s="6"/>
      <c r="Z49" s="6"/>
      <c r="AA49" s="197">
        <v>4</v>
      </c>
      <c r="AB49" s="522" t="s">
        <v>89</v>
      </c>
      <c r="AC49" s="497"/>
      <c r="AD49" s="342" t="s">
        <v>58</v>
      </c>
      <c r="AE49" s="254" t="b">
        <v>1</v>
      </c>
      <c r="AF49" s="255" t="b">
        <v>1</v>
      </c>
      <c r="AG49" s="6"/>
      <c r="AH49" s="6"/>
      <c r="AI49" s="148"/>
      <c r="AJ49" s="6"/>
      <c r="AK49" s="6"/>
      <c r="AL49" s="197">
        <v>2</v>
      </c>
      <c r="AM49" s="522" t="s">
        <v>87</v>
      </c>
      <c r="AN49" s="497"/>
      <c r="AO49" s="343" t="b">
        <v>1</v>
      </c>
      <c r="AP49" s="343" t="b">
        <v>1</v>
      </c>
      <c r="AQ49" s="344" t="b">
        <v>1</v>
      </c>
      <c r="AR49" s="6"/>
      <c r="AS49" s="6"/>
      <c r="AT49" s="148"/>
      <c r="AU49" s="6"/>
      <c r="AV49" s="6"/>
      <c r="AW49" s="183">
        <v>2</v>
      </c>
      <c r="AX49" s="560" t="s">
        <v>87</v>
      </c>
      <c r="AY49" s="491"/>
      <c r="AZ49" s="275" t="b">
        <v>1</v>
      </c>
      <c r="BA49" s="275" t="b">
        <v>1</v>
      </c>
      <c r="BB49" s="276" t="b">
        <v>1</v>
      </c>
      <c r="BC49" s="6"/>
      <c r="BD49" s="6"/>
      <c r="BE49" s="148"/>
      <c r="BF49" s="6"/>
      <c r="BG49" s="6"/>
      <c r="BH49" s="340"/>
      <c r="BI49" s="340"/>
      <c r="BJ49" s="340"/>
      <c r="BK49" s="340"/>
      <c r="BL49" s="340"/>
      <c r="BM49" s="340"/>
      <c r="BN49" s="6"/>
      <c r="BO49" s="6"/>
      <c r="BP49" s="148"/>
      <c r="BQ49" s="6"/>
      <c r="BR49" s="340"/>
      <c r="BS49" s="340"/>
      <c r="BT49" s="340"/>
      <c r="BU49" s="340"/>
      <c r="BV49" s="340"/>
      <c r="BW49" s="340"/>
      <c r="BX49" s="340"/>
      <c r="BY49" s="340"/>
      <c r="BZ49" s="6"/>
      <c r="CA49" s="148"/>
    </row>
    <row r="50" spans="1:79" ht="37.5" customHeight="1">
      <c r="A50" s="148"/>
      <c r="B50" s="6"/>
      <c r="C50" s="6"/>
      <c r="D50" s="508" t="s">
        <v>29</v>
      </c>
      <c r="E50" s="509"/>
      <c r="F50" s="509"/>
      <c r="G50" s="157"/>
      <c r="H50" s="157"/>
      <c r="I50" s="158"/>
      <c r="J50" s="6"/>
      <c r="K50" s="6"/>
      <c r="L50" s="148"/>
      <c r="M50" s="148"/>
      <c r="N50" s="6"/>
      <c r="O50" s="6"/>
      <c r="P50" s="341">
        <v>3</v>
      </c>
      <c r="Q50" s="567" t="s">
        <v>88</v>
      </c>
      <c r="R50" s="499"/>
      <c r="S50" s="252" t="b">
        <v>1</v>
      </c>
      <c r="T50" s="252" t="b">
        <v>1</v>
      </c>
      <c r="U50" s="253" t="b">
        <v>1</v>
      </c>
      <c r="V50" s="6"/>
      <c r="W50" s="6"/>
      <c r="X50" s="148"/>
      <c r="Y50" s="6"/>
      <c r="Z50" s="6"/>
      <c r="AA50" s="210">
        <v>5</v>
      </c>
      <c r="AB50" s="556" t="s">
        <v>90</v>
      </c>
      <c r="AC50" s="538"/>
      <c r="AD50" s="568" t="s">
        <v>266</v>
      </c>
      <c r="AE50" s="558"/>
      <c r="AF50" s="559"/>
      <c r="AG50" s="6"/>
      <c r="AH50" s="6"/>
      <c r="AI50" s="148"/>
      <c r="AJ50" s="6"/>
      <c r="AK50" s="6"/>
      <c r="AL50" s="197">
        <v>3</v>
      </c>
      <c r="AM50" s="522" t="s">
        <v>88</v>
      </c>
      <c r="AN50" s="497"/>
      <c r="AO50" s="343" t="b">
        <v>1</v>
      </c>
      <c r="AP50" s="343" t="b">
        <v>1</v>
      </c>
      <c r="AQ50" s="344" t="b">
        <v>1</v>
      </c>
      <c r="AR50" s="6"/>
      <c r="AS50" s="6"/>
      <c r="AT50" s="148"/>
      <c r="AU50" s="6"/>
      <c r="AV50" s="6"/>
      <c r="AW50" s="183">
        <v>3</v>
      </c>
      <c r="AX50" s="560" t="s">
        <v>88</v>
      </c>
      <c r="AY50" s="491"/>
      <c r="AZ50" s="275" t="b">
        <v>1</v>
      </c>
      <c r="BA50" s="275" t="b">
        <v>1</v>
      </c>
      <c r="BB50" s="276" t="b">
        <v>1</v>
      </c>
      <c r="BC50" s="6"/>
      <c r="BD50" s="6"/>
      <c r="BE50" s="148"/>
      <c r="BF50" s="6"/>
      <c r="BG50" s="6"/>
      <c r="BH50" s="340"/>
      <c r="BI50" s="340"/>
      <c r="BJ50" s="340"/>
      <c r="BK50" s="340"/>
      <c r="BL50" s="340"/>
      <c r="BM50" s="340"/>
      <c r="BN50" s="6"/>
      <c r="BO50" s="6"/>
      <c r="BP50" s="148"/>
      <c r="BQ50" s="6"/>
      <c r="BR50" s="340"/>
      <c r="BS50" s="340"/>
      <c r="BT50" s="340"/>
      <c r="BU50" s="340"/>
      <c r="BV50" s="340"/>
      <c r="BW50" s="340"/>
      <c r="BX50" s="340"/>
      <c r="BY50" s="340"/>
      <c r="BZ50" s="6"/>
      <c r="CA50" s="148"/>
    </row>
    <row r="51" spans="1:79" ht="22.5" customHeight="1">
      <c r="A51" s="148"/>
      <c r="B51" s="6"/>
      <c r="C51" s="6"/>
      <c r="D51" s="230">
        <v>1</v>
      </c>
      <c r="E51" s="510" t="s">
        <v>273</v>
      </c>
      <c r="F51" s="487"/>
      <c r="G51" s="231" t="b">
        <v>1</v>
      </c>
      <c r="H51" s="231" t="b">
        <v>1</v>
      </c>
      <c r="I51" s="232" t="b">
        <v>1</v>
      </c>
      <c r="J51" s="6"/>
      <c r="K51" s="6"/>
      <c r="L51" s="148"/>
      <c r="M51" s="148"/>
      <c r="N51" s="6"/>
      <c r="O51" s="6"/>
      <c r="P51" s="341">
        <v>4</v>
      </c>
      <c r="Q51" s="567" t="s">
        <v>89</v>
      </c>
      <c r="R51" s="499"/>
      <c r="S51" s="357" t="s">
        <v>58</v>
      </c>
      <c r="T51" s="252" t="b">
        <v>1</v>
      </c>
      <c r="U51" s="253" t="b">
        <v>1</v>
      </c>
      <c r="V51" s="6"/>
      <c r="W51" s="6"/>
      <c r="X51" s="148"/>
      <c r="Y51" s="6"/>
      <c r="Z51" s="6"/>
      <c r="AA51" s="6"/>
      <c r="AB51" s="6"/>
      <c r="AC51" s="6"/>
      <c r="AD51" s="6"/>
      <c r="AE51" s="6"/>
      <c r="AF51" s="6"/>
      <c r="AG51" s="6"/>
      <c r="AH51" s="6"/>
      <c r="AI51" s="148"/>
      <c r="AJ51" s="6"/>
      <c r="AK51" s="6"/>
      <c r="AL51" s="197">
        <v>4</v>
      </c>
      <c r="AM51" s="522" t="s">
        <v>89</v>
      </c>
      <c r="AN51" s="497"/>
      <c r="AO51" s="346" t="s">
        <v>58</v>
      </c>
      <c r="AP51" s="343" t="b">
        <v>1</v>
      </c>
      <c r="AQ51" s="344" t="b">
        <v>1</v>
      </c>
      <c r="AR51" s="6"/>
      <c r="AS51" s="6"/>
      <c r="AT51" s="148"/>
      <c r="AU51" s="6"/>
      <c r="AV51" s="6"/>
      <c r="AW51" s="183">
        <v>4</v>
      </c>
      <c r="AX51" s="560" t="s">
        <v>89</v>
      </c>
      <c r="AY51" s="491"/>
      <c r="AZ51" s="347" t="s">
        <v>58</v>
      </c>
      <c r="BA51" s="275" t="b">
        <v>1</v>
      </c>
      <c r="BB51" s="276" t="b">
        <v>1</v>
      </c>
      <c r="BC51" s="6"/>
      <c r="BD51" s="6"/>
      <c r="BE51" s="148"/>
      <c r="BF51" s="6"/>
      <c r="BG51" s="6"/>
      <c r="BH51" s="340"/>
      <c r="BI51" s="340"/>
      <c r="BJ51" s="340"/>
      <c r="BK51" s="340"/>
      <c r="BL51" s="340"/>
      <c r="BM51" s="340"/>
      <c r="BN51" s="6"/>
      <c r="BO51" s="6"/>
      <c r="BP51" s="148"/>
      <c r="BQ51" s="6"/>
      <c r="BR51" s="6"/>
      <c r="BS51" s="340"/>
      <c r="BT51" s="340"/>
      <c r="BU51" s="340"/>
      <c r="BV51" s="340"/>
      <c r="BW51" s="340"/>
      <c r="BX51" s="340"/>
      <c r="BY51" s="6"/>
      <c r="BZ51" s="6"/>
      <c r="CA51" s="148"/>
    </row>
    <row r="52" spans="1:79" ht="22.5" customHeight="1">
      <c r="A52" s="148"/>
      <c r="B52" s="6"/>
      <c r="C52" s="6"/>
      <c r="D52" s="230">
        <v>2</v>
      </c>
      <c r="E52" s="511" t="s">
        <v>274</v>
      </c>
      <c r="F52" s="495"/>
      <c r="G52" s="250" t="b">
        <v>1</v>
      </c>
      <c r="H52" s="250" t="b">
        <v>1</v>
      </c>
      <c r="I52" s="251" t="b">
        <v>1</v>
      </c>
      <c r="J52" s="6"/>
      <c r="K52" s="6"/>
      <c r="L52" s="148"/>
      <c r="M52" s="148"/>
      <c r="N52" s="6"/>
      <c r="O52" s="6"/>
      <c r="P52" s="329">
        <v>5</v>
      </c>
      <c r="Q52" s="569" t="s">
        <v>90</v>
      </c>
      <c r="R52" s="536"/>
      <c r="S52" s="585" t="s">
        <v>266</v>
      </c>
      <c r="T52" s="586"/>
      <c r="U52" s="587"/>
      <c r="V52" s="6"/>
      <c r="W52" s="6"/>
      <c r="X52" s="148"/>
      <c r="Y52" s="6"/>
      <c r="Z52" s="6"/>
      <c r="AA52" s="6"/>
      <c r="AB52" s="6"/>
      <c r="AC52" s="6"/>
      <c r="AD52" s="6"/>
      <c r="AE52" s="6"/>
      <c r="AF52" s="6"/>
      <c r="AG52" s="6"/>
      <c r="AH52" s="6"/>
      <c r="AI52" s="148"/>
      <c r="AJ52" s="6"/>
      <c r="AK52" s="6"/>
      <c r="AL52" s="210">
        <v>5</v>
      </c>
      <c r="AM52" s="556" t="s">
        <v>90</v>
      </c>
      <c r="AN52" s="538"/>
      <c r="AO52" s="557" t="s">
        <v>266</v>
      </c>
      <c r="AP52" s="558"/>
      <c r="AQ52" s="559"/>
      <c r="AR52" s="6"/>
      <c r="AS52" s="6"/>
      <c r="AT52" s="148"/>
      <c r="AU52" s="6"/>
      <c r="AV52" s="6"/>
      <c r="AW52" s="213">
        <v>5</v>
      </c>
      <c r="AX52" s="561" t="s">
        <v>90</v>
      </c>
      <c r="AY52" s="515"/>
      <c r="AZ52" s="562" t="s">
        <v>266</v>
      </c>
      <c r="BA52" s="563"/>
      <c r="BB52" s="564"/>
      <c r="BC52" s="6"/>
      <c r="BD52" s="6"/>
      <c r="BE52" s="148"/>
      <c r="BF52" s="6"/>
      <c r="BG52" s="6"/>
      <c r="BH52" s="340"/>
      <c r="BI52" s="340"/>
      <c r="BJ52" s="340"/>
      <c r="BK52" s="340"/>
      <c r="BL52" s="340"/>
      <c r="BM52" s="340"/>
      <c r="BN52" s="6"/>
      <c r="BO52" s="6"/>
      <c r="BP52" s="148"/>
      <c r="BQ52" s="6"/>
      <c r="BR52" s="6"/>
      <c r="BS52" s="340"/>
      <c r="BT52" s="340"/>
      <c r="BU52" s="340"/>
      <c r="BV52" s="340"/>
      <c r="BW52" s="340"/>
      <c r="BX52" s="340"/>
      <c r="BY52" s="6"/>
      <c r="BZ52" s="6"/>
      <c r="CA52" s="148"/>
    </row>
    <row r="53" spans="1:79" ht="22.5" customHeight="1">
      <c r="A53" s="148"/>
      <c r="B53" s="6"/>
      <c r="C53" s="6"/>
      <c r="D53" s="230">
        <v>3</v>
      </c>
      <c r="E53" s="510" t="s">
        <v>275</v>
      </c>
      <c r="F53" s="487"/>
      <c r="G53" s="250" t="b">
        <v>1</v>
      </c>
      <c r="H53" s="250" t="b">
        <v>1</v>
      </c>
      <c r="I53" s="251" t="b">
        <v>1</v>
      </c>
      <c r="J53" s="6"/>
      <c r="K53" s="6"/>
      <c r="L53" s="148"/>
      <c r="M53" s="148"/>
      <c r="N53" s="6"/>
      <c r="O53" s="6"/>
      <c r="P53" s="6"/>
      <c r="Q53" s="6"/>
      <c r="R53" s="6"/>
      <c r="S53" s="6"/>
      <c r="T53" s="6"/>
      <c r="U53" s="6"/>
      <c r="V53" s="6"/>
      <c r="W53" s="6"/>
      <c r="X53" s="148"/>
      <c r="Y53" s="6"/>
      <c r="Z53" s="6"/>
      <c r="AA53" s="6"/>
      <c r="AB53" s="6"/>
      <c r="AC53" s="6"/>
      <c r="AD53" s="6"/>
      <c r="AE53" s="6"/>
      <c r="AF53" s="6"/>
      <c r="AG53" s="6"/>
      <c r="AH53" s="6"/>
      <c r="AI53" s="148"/>
      <c r="AJ53" s="6"/>
      <c r="AK53" s="6"/>
      <c r="AL53" s="6"/>
      <c r="AM53" s="6"/>
      <c r="AN53" s="6"/>
      <c r="AO53" s="6"/>
      <c r="AP53" s="6"/>
      <c r="AQ53" s="6"/>
      <c r="AR53" s="6"/>
      <c r="AS53" s="6"/>
      <c r="AT53" s="148"/>
      <c r="AU53" s="6"/>
      <c r="AV53" s="6"/>
      <c r="AW53" s="6"/>
      <c r="AX53" s="6"/>
      <c r="AY53" s="6"/>
      <c r="AZ53" s="6"/>
      <c r="BA53" s="6"/>
      <c r="BB53" s="6"/>
      <c r="BC53" s="6"/>
      <c r="BD53" s="6"/>
      <c r="BE53" s="148"/>
      <c r="BF53" s="6"/>
      <c r="BG53" s="6"/>
      <c r="BH53" s="340"/>
      <c r="BI53" s="340"/>
      <c r="BJ53" s="340"/>
      <c r="BK53" s="358"/>
      <c r="BL53" s="358"/>
      <c r="BM53" s="358"/>
      <c r="BN53" s="6"/>
      <c r="BO53" s="6"/>
      <c r="BP53" s="148"/>
      <c r="BQ53" s="6"/>
      <c r="BR53" s="6"/>
      <c r="BS53" s="340"/>
      <c r="BT53" s="340"/>
      <c r="BU53" s="340"/>
      <c r="BV53" s="340"/>
      <c r="BW53" s="340"/>
      <c r="BX53" s="340"/>
      <c r="BY53" s="6"/>
      <c r="BZ53" s="6"/>
      <c r="CA53" s="148"/>
    </row>
    <row r="54" spans="1:79" ht="22.5" customHeight="1">
      <c r="A54" s="148"/>
      <c r="B54" s="6"/>
      <c r="C54" s="6"/>
      <c r="D54" s="230">
        <v>4</v>
      </c>
      <c r="E54" s="511" t="s">
        <v>276</v>
      </c>
      <c r="F54" s="495"/>
      <c r="G54" s="250" t="b">
        <v>1</v>
      </c>
      <c r="H54" s="250" t="b">
        <v>1</v>
      </c>
      <c r="I54" s="251" t="b">
        <v>1</v>
      </c>
      <c r="J54" s="6"/>
      <c r="K54" s="6"/>
      <c r="L54" s="148"/>
      <c r="M54" s="148"/>
      <c r="N54" s="6"/>
      <c r="V54" s="6"/>
      <c r="W54" s="6"/>
      <c r="X54" s="148"/>
      <c r="Y54" s="6"/>
      <c r="Z54" s="6"/>
      <c r="AA54" s="6"/>
      <c r="AB54" s="6"/>
      <c r="AC54" s="6"/>
      <c r="AD54" s="6"/>
      <c r="AE54" s="6"/>
      <c r="AF54" s="6"/>
      <c r="AG54" s="6"/>
      <c r="AH54" s="6"/>
      <c r="AI54" s="148"/>
      <c r="AJ54" s="6"/>
      <c r="AK54" s="6"/>
      <c r="AL54" s="6"/>
      <c r="AM54" s="6"/>
      <c r="AN54" s="6"/>
      <c r="AO54" s="6"/>
      <c r="AP54" s="6"/>
      <c r="AQ54" s="6"/>
      <c r="AR54" s="6"/>
      <c r="AS54" s="6"/>
      <c r="AT54" s="148"/>
      <c r="AU54" s="6"/>
      <c r="AV54" s="340"/>
      <c r="AW54" s="340"/>
      <c r="AX54" s="340"/>
      <c r="AY54" s="340"/>
      <c r="AZ54" s="340"/>
      <c r="BA54" s="340"/>
      <c r="BB54" s="340"/>
      <c r="BC54" s="340"/>
      <c r="BD54" s="6"/>
      <c r="BE54" s="148"/>
      <c r="BF54" s="6"/>
      <c r="BG54" s="6"/>
      <c r="BH54" s="340"/>
      <c r="BI54" s="340"/>
      <c r="BJ54" s="340"/>
      <c r="BK54" s="358"/>
      <c r="BL54" s="358"/>
      <c r="BM54" s="358"/>
      <c r="BN54" s="6"/>
      <c r="BO54" s="6"/>
      <c r="BP54" s="148"/>
      <c r="BQ54" s="6"/>
      <c r="BR54" s="6"/>
      <c r="BS54" s="340"/>
      <c r="BT54" s="340"/>
      <c r="BU54" s="340"/>
      <c r="BV54" s="340"/>
      <c r="BW54" s="340"/>
      <c r="BX54" s="340"/>
      <c r="BY54" s="6"/>
      <c r="BZ54" s="6"/>
      <c r="CA54" s="148"/>
    </row>
    <row r="55" spans="1:79" ht="22.5" customHeight="1">
      <c r="A55" s="148"/>
      <c r="B55" s="6"/>
      <c r="C55" s="6"/>
      <c r="D55" s="230">
        <v>5</v>
      </c>
      <c r="E55" s="510" t="s">
        <v>277</v>
      </c>
      <c r="F55" s="487"/>
      <c r="G55" s="317" t="s">
        <v>58</v>
      </c>
      <c r="H55" s="250" t="b">
        <v>1</v>
      </c>
      <c r="I55" s="251" t="b">
        <v>1</v>
      </c>
      <c r="J55" s="6"/>
      <c r="K55" s="6"/>
      <c r="L55" s="148"/>
      <c r="M55" s="148"/>
      <c r="N55" s="6"/>
      <c r="O55" s="340"/>
      <c r="P55" s="340"/>
      <c r="Q55" s="340"/>
      <c r="R55" s="340"/>
      <c r="S55" s="340"/>
      <c r="T55" s="340"/>
      <c r="U55" s="340"/>
      <c r="V55" s="6"/>
      <c r="W55" s="6"/>
      <c r="X55" s="148"/>
      <c r="Y55" s="6"/>
      <c r="Z55" s="6"/>
      <c r="AA55" s="6"/>
      <c r="AB55" s="6"/>
      <c r="AC55" s="6"/>
      <c r="AD55" s="6"/>
      <c r="AE55" s="6"/>
      <c r="AF55" s="6"/>
      <c r="AG55" s="6"/>
      <c r="AH55" s="6"/>
      <c r="AI55" s="148"/>
      <c r="AJ55" s="6"/>
      <c r="AK55" s="6"/>
      <c r="AL55" s="6"/>
      <c r="AM55" s="6"/>
      <c r="AN55" s="6"/>
      <c r="AO55" s="6"/>
      <c r="AP55" s="6"/>
      <c r="AQ55" s="6"/>
      <c r="AR55" s="6"/>
      <c r="AS55" s="6"/>
      <c r="AT55" s="148"/>
      <c r="AU55" s="6"/>
      <c r="AV55" s="340"/>
      <c r="AW55" s="340"/>
      <c r="AX55" s="340"/>
      <c r="AY55" s="340"/>
      <c r="AZ55" s="340"/>
      <c r="BA55" s="340"/>
      <c r="BB55" s="340"/>
      <c r="BC55" s="340"/>
      <c r="BD55" s="6"/>
      <c r="BE55" s="148"/>
      <c r="BF55" s="6"/>
      <c r="BG55" s="6"/>
      <c r="BH55" s="340"/>
      <c r="BI55" s="340"/>
      <c r="BJ55" s="340"/>
      <c r="BK55" s="358"/>
      <c r="BL55" s="358"/>
      <c r="BM55" s="358"/>
      <c r="BN55" s="6"/>
      <c r="BO55" s="6"/>
      <c r="BP55" s="148"/>
      <c r="BQ55" s="6"/>
      <c r="BR55" s="6"/>
      <c r="BS55" s="340"/>
      <c r="BT55" s="340"/>
      <c r="BU55" s="340"/>
      <c r="BV55" s="358"/>
      <c r="BW55" s="358"/>
      <c r="BX55" s="358"/>
      <c r="BY55" s="6"/>
      <c r="BZ55" s="6"/>
      <c r="CA55" s="148"/>
    </row>
    <row r="56" spans="1:79" ht="22.5" customHeight="1">
      <c r="A56" s="148"/>
      <c r="B56" s="6"/>
      <c r="C56" s="6"/>
      <c r="D56" s="230">
        <v>6</v>
      </c>
      <c r="E56" s="511" t="s">
        <v>245</v>
      </c>
      <c r="F56" s="495"/>
      <c r="G56" s="317" t="s">
        <v>58</v>
      </c>
      <c r="H56" s="250" t="b">
        <v>1</v>
      </c>
      <c r="I56" s="251" t="b">
        <v>1</v>
      </c>
      <c r="J56" s="6"/>
      <c r="K56" s="6"/>
      <c r="L56" s="148"/>
      <c r="M56" s="148"/>
      <c r="N56" s="6"/>
      <c r="O56" s="340"/>
      <c r="P56" s="340"/>
      <c r="Q56" s="340"/>
      <c r="R56" s="340"/>
      <c r="S56" s="340"/>
      <c r="T56" s="340"/>
      <c r="U56" s="340"/>
      <c r="V56" s="6"/>
      <c r="W56" s="6"/>
      <c r="X56" s="148"/>
      <c r="Y56" s="6"/>
      <c r="Z56" s="6"/>
      <c r="AA56" s="6"/>
      <c r="AB56" s="6"/>
      <c r="AC56" s="6"/>
      <c r="AD56" s="6"/>
      <c r="AE56" s="6"/>
      <c r="AF56" s="6"/>
      <c r="AG56" s="6"/>
      <c r="AH56" s="6"/>
      <c r="AI56" s="148"/>
      <c r="AJ56" s="6"/>
      <c r="AK56" s="6"/>
      <c r="AL56" s="6"/>
      <c r="AM56" s="6"/>
      <c r="AN56" s="6"/>
      <c r="AO56" s="6"/>
      <c r="AP56" s="6"/>
      <c r="AQ56" s="6"/>
      <c r="AR56" s="6"/>
      <c r="AS56" s="6"/>
      <c r="AT56" s="148"/>
      <c r="AU56" s="6"/>
      <c r="AV56" s="340"/>
      <c r="AW56" s="340"/>
      <c r="AX56" s="340"/>
      <c r="AY56" s="340"/>
      <c r="AZ56" s="340"/>
      <c r="BA56" s="340"/>
      <c r="BB56" s="340"/>
      <c r="BC56" s="340"/>
      <c r="BD56" s="6"/>
      <c r="BE56" s="148"/>
      <c r="BF56" s="6"/>
      <c r="BG56" s="6"/>
      <c r="BH56" s="340"/>
      <c r="BI56" s="340"/>
      <c r="BJ56" s="340"/>
      <c r="BK56" s="358"/>
      <c r="BL56" s="358"/>
      <c r="BM56" s="358"/>
      <c r="BN56" s="6"/>
      <c r="BO56" s="6"/>
      <c r="BP56" s="148"/>
      <c r="BQ56" s="6"/>
      <c r="BR56" s="6"/>
      <c r="BS56" s="340"/>
      <c r="BT56" s="340"/>
      <c r="BU56" s="340"/>
      <c r="BV56" s="358"/>
      <c r="BW56" s="358"/>
      <c r="BX56" s="358"/>
      <c r="BY56" s="6"/>
      <c r="BZ56" s="6"/>
      <c r="CA56" s="148"/>
    </row>
    <row r="57" spans="1:79" ht="22.5" customHeight="1">
      <c r="A57" s="148"/>
      <c r="B57" s="6"/>
      <c r="C57" s="6"/>
      <c r="D57" s="289">
        <v>7</v>
      </c>
      <c r="E57" s="565" t="s">
        <v>278</v>
      </c>
      <c r="F57" s="566"/>
      <c r="G57" s="333" t="s">
        <v>58</v>
      </c>
      <c r="H57" s="290" t="b">
        <v>1</v>
      </c>
      <c r="I57" s="291" t="b">
        <v>1</v>
      </c>
      <c r="J57" s="6"/>
      <c r="K57" s="6"/>
      <c r="L57" s="148"/>
      <c r="M57" s="148"/>
      <c r="N57" s="6"/>
      <c r="O57" s="340"/>
      <c r="P57" s="340"/>
      <c r="Q57" s="340"/>
      <c r="R57" s="340"/>
      <c r="S57" s="340"/>
      <c r="T57" s="340"/>
      <c r="U57" s="340"/>
      <c r="V57" s="6"/>
      <c r="W57" s="6"/>
      <c r="X57" s="148"/>
      <c r="Y57" s="6"/>
      <c r="Z57" s="6"/>
      <c r="AA57" s="6"/>
      <c r="AB57" s="6"/>
      <c r="AC57" s="6"/>
      <c r="AD57" s="6"/>
      <c r="AE57" s="6"/>
      <c r="AF57" s="6"/>
      <c r="AG57" s="6"/>
      <c r="AH57" s="6"/>
      <c r="AI57" s="148"/>
      <c r="AJ57" s="6"/>
      <c r="AK57" s="6"/>
      <c r="AL57" s="6"/>
      <c r="AM57" s="6"/>
      <c r="AN57" s="6"/>
      <c r="AO57" s="6"/>
      <c r="AP57" s="6"/>
      <c r="AQ57" s="6"/>
      <c r="AR57" s="6"/>
      <c r="AS57" s="6"/>
      <c r="AT57" s="148"/>
      <c r="AU57" s="6"/>
      <c r="AV57" s="340"/>
      <c r="AW57" s="340"/>
      <c r="AX57" s="340"/>
      <c r="AY57" s="340"/>
      <c r="AZ57" s="340"/>
      <c r="BA57" s="340"/>
      <c r="BB57" s="340"/>
      <c r="BC57" s="340"/>
      <c r="BD57" s="6"/>
      <c r="BE57" s="148"/>
      <c r="BF57" s="6"/>
      <c r="BG57" s="6"/>
      <c r="BI57" s="340"/>
      <c r="BJ57" s="340"/>
      <c r="BN57" s="6"/>
      <c r="BO57" s="6"/>
      <c r="BP57" s="148"/>
      <c r="BQ57" s="6"/>
      <c r="BR57" s="6"/>
      <c r="BS57" s="340"/>
      <c r="BT57" s="340"/>
      <c r="BU57" s="340"/>
      <c r="BV57" s="358"/>
      <c r="BW57" s="358"/>
      <c r="BX57" s="358"/>
      <c r="BY57" s="6"/>
      <c r="BZ57" s="6"/>
      <c r="CA57" s="148"/>
    </row>
    <row r="58" spans="1:79" ht="12.5">
      <c r="A58" s="148"/>
      <c r="B58" s="6"/>
      <c r="C58" s="6"/>
      <c r="D58" s="6"/>
      <c r="E58" s="6"/>
      <c r="F58" s="6"/>
      <c r="G58" s="6"/>
      <c r="H58" s="6"/>
      <c r="I58" s="6"/>
      <c r="J58" s="6"/>
      <c r="K58" s="6"/>
      <c r="L58" s="148"/>
      <c r="M58" s="148"/>
      <c r="N58" s="6"/>
      <c r="O58" s="340"/>
      <c r="P58" s="340"/>
      <c r="Q58" s="340"/>
      <c r="R58" s="340"/>
      <c r="S58" s="340"/>
      <c r="T58" s="340"/>
      <c r="U58" s="340"/>
      <c r="V58" s="6"/>
      <c r="W58" s="6"/>
      <c r="X58" s="148"/>
      <c r="Y58" s="6"/>
      <c r="Z58" s="18"/>
      <c r="AA58" s="340"/>
      <c r="AB58" s="340"/>
      <c r="AG58" s="6"/>
      <c r="AH58" s="6"/>
      <c r="AI58" s="148"/>
      <c r="AJ58" s="6"/>
      <c r="AK58" s="6"/>
      <c r="AL58" s="6"/>
      <c r="AM58" s="6"/>
      <c r="AN58" s="6"/>
      <c r="AO58" s="6"/>
      <c r="AP58" s="6"/>
      <c r="AQ58" s="6"/>
      <c r="AR58" s="6"/>
      <c r="AS58" s="6"/>
      <c r="AT58" s="148"/>
      <c r="AU58" s="6"/>
      <c r="AV58" s="340"/>
      <c r="AW58" s="340"/>
      <c r="AX58" s="340"/>
      <c r="AY58" s="340"/>
      <c r="AZ58" s="340"/>
      <c r="BA58" s="340"/>
      <c r="BB58" s="340"/>
      <c r="BC58" s="340"/>
      <c r="BD58" s="6"/>
      <c r="BE58" s="148"/>
      <c r="BF58" s="6"/>
      <c r="BG58" s="6"/>
      <c r="BH58" s="6"/>
      <c r="BI58" s="6"/>
      <c r="BJ58" s="6"/>
      <c r="BK58" s="6"/>
      <c r="BL58" s="6"/>
      <c r="BM58" s="6"/>
      <c r="BN58" s="6"/>
      <c r="BO58" s="6"/>
      <c r="BP58" s="148"/>
      <c r="BQ58" s="6"/>
      <c r="BR58" s="6"/>
      <c r="BS58" s="340"/>
      <c r="BT58" s="340"/>
      <c r="BU58" s="340"/>
      <c r="BV58" s="358"/>
      <c r="BW58" s="358"/>
      <c r="BX58" s="358"/>
      <c r="BY58" s="6"/>
      <c r="BZ58" s="6"/>
      <c r="CA58" s="148"/>
    </row>
    <row r="59" spans="1:79" ht="37.5" customHeight="1">
      <c r="A59" s="148"/>
      <c r="B59" s="6"/>
      <c r="C59" s="6"/>
      <c r="D59" s="508" t="s">
        <v>253</v>
      </c>
      <c r="E59" s="509"/>
      <c r="F59" s="509"/>
      <c r="G59" s="157"/>
      <c r="H59" s="157"/>
      <c r="I59" s="158"/>
      <c r="J59" s="6"/>
      <c r="K59" s="6"/>
      <c r="L59" s="148"/>
      <c r="M59" s="148"/>
      <c r="N59" s="6"/>
      <c r="O59" s="6"/>
      <c r="P59" s="6"/>
      <c r="Q59" s="6"/>
      <c r="R59" s="6"/>
      <c r="S59" s="6"/>
      <c r="T59" s="6"/>
      <c r="U59" s="6"/>
      <c r="V59" s="6"/>
      <c r="W59" s="6"/>
      <c r="X59" s="148"/>
      <c r="Y59" s="6"/>
      <c r="Z59" s="6"/>
      <c r="AG59" s="6"/>
      <c r="AH59" s="6"/>
      <c r="AI59" s="148"/>
      <c r="AJ59" s="6"/>
      <c r="AK59" s="6"/>
      <c r="AL59" s="6"/>
      <c r="AM59" s="6"/>
      <c r="AN59" s="6"/>
      <c r="AO59" s="6"/>
      <c r="AP59" s="6"/>
      <c r="AQ59" s="6"/>
      <c r="AR59" s="6"/>
      <c r="AS59" s="6"/>
      <c r="AT59" s="148"/>
      <c r="AU59" s="6"/>
      <c r="AV59" s="340"/>
      <c r="AW59" s="340"/>
      <c r="AX59" s="340"/>
      <c r="AY59" s="340"/>
      <c r="AZ59" s="340"/>
      <c r="BA59" s="340"/>
      <c r="BB59" s="340"/>
      <c r="BC59" s="340"/>
      <c r="BD59" s="6"/>
      <c r="BE59" s="148"/>
      <c r="BF59" s="6"/>
      <c r="BG59" s="6"/>
      <c r="BH59" s="6"/>
      <c r="BI59" s="6"/>
      <c r="BJ59" s="6"/>
      <c r="BK59" s="6"/>
      <c r="BL59" s="6"/>
      <c r="BM59" s="6"/>
      <c r="BN59" s="6"/>
      <c r="BO59" s="6"/>
      <c r="BP59" s="148"/>
      <c r="BQ59" s="6"/>
      <c r="BR59" s="6"/>
      <c r="BT59" s="340"/>
      <c r="BU59" s="340"/>
      <c r="BY59" s="6"/>
      <c r="BZ59" s="6"/>
      <c r="CA59" s="148"/>
    </row>
    <row r="60" spans="1:79" ht="22.5" customHeight="1">
      <c r="A60" s="148"/>
      <c r="B60" s="6"/>
      <c r="C60" s="6"/>
      <c r="D60" s="230">
        <v>1</v>
      </c>
      <c r="E60" s="510" t="s">
        <v>279</v>
      </c>
      <c r="F60" s="487"/>
      <c r="G60" s="231" t="b">
        <v>1</v>
      </c>
      <c r="H60" s="231" t="b">
        <v>1</v>
      </c>
      <c r="I60" s="232" t="b">
        <v>1</v>
      </c>
      <c r="J60" s="6"/>
      <c r="K60" s="6"/>
      <c r="L60" s="148"/>
      <c r="M60" s="148"/>
      <c r="N60" s="6"/>
      <c r="O60" s="18"/>
      <c r="P60" s="340"/>
      <c r="Q60" s="340"/>
      <c r="V60" s="6"/>
      <c r="W60" s="6"/>
      <c r="X60" s="148"/>
      <c r="Y60" s="6"/>
      <c r="Z60" s="6"/>
      <c r="AA60" s="340"/>
      <c r="AB60" s="340"/>
      <c r="AC60" s="340"/>
      <c r="AD60" s="340"/>
      <c r="AE60" s="340"/>
      <c r="AF60" s="340"/>
      <c r="AG60" s="6"/>
      <c r="AH60" s="6"/>
      <c r="AI60" s="148"/>
      <c r="AJ60" s="6"/>
      <c r="AK60" s="18"/>
      <c r="AL60" s="340"/>
      <c r="AM60" s="340"/>
      <c r="AR60" s="6"/>
      <c r="AS60" s="6"/>
      <c r="AT60" s="148"/>
      <c r="AU60" s="6"/>
      <c r="AV60" s="340"/>
      <c r="AW60" s="340"/>
      <c r="AX60" s="340"/>
      <c r="AY60" s="340"/>
      <c r="AZ60" s="340"/>
      <c r="BA60" s="340"/>
      <c r="BB60" s="340"/>
      <c r="BC60" s="340"/>
      <c r="BD60" s="6"/>
      <c r="BE60" s="148"/>
      <c r="BF60" s="6"/>
      <c r="BG60" s="6"/>
      <c r="BH60" s="6"/>
      <c r="BI60" s="6"/>
      <c r="BJ60" s="6"/>
      <c r="BK60" s="6"/>
      <c r="BL60" s="6"/>
      <c r="BM60" s="6"/>
      <c r="BN60" s="6"/>
      <c r="BO60" s="6"/>
      <c r="BP60" s="148"/>
      <c r="BQ60" s="6"/>
      <c r="BR60" s="6"/>
      <c r="BS60" s="6"/>
      <c r="BT60" s="6"/>
      <c r="BU60" s="6"/>
      <c r="BV60" s="6"/>
      <c r="BW60" s="6"/>
      <c r="BX60" s="6"/>
      <c r="BY60" s="6"/>
      <c r="BZ60" s="6"/>
      <c r="CA60" s="148"/>
    </row>
    <row r="61" spans="1:79" ht="12.5">
      <c r="A61" s="148"/>
      <c r="B61" s="6"/>
      <c r="C61" s="6"/>
      <c r="D61" s="230">
        <v>2</v>
      </c>
      <c r="E61" s="511" t="s">
        <v>280</v>
      </c>
      <c r="F61" s="495"/>
      <c r="G61" s="250" t="b">
        <v>1</v>
      </c>
      <c r="H61" s="250" t="b">
        <v>1</v>
      </c>
      <c r="I61" s="251" t="b">
        <v>1</v>
      </c>
      <c r="J61" s="6"/>
      <c r="K61" s="6"/>
      <c r="L61" s="148"/>
      <c r="M61" s="148"/>
      <c r="N61" s="6"/>
      <c r="O61" s="6"/>
      <c r="V61" s="6"/>
      <c r="W61" s="6"/>
      <c r="X61" s="148"/>
      <c r="Y61" s="6"/>
      <c r="Z61" s="6"/>
      <c r="AA61" s="340"/>
      <c r="AB61" s="340"/>
      <c r="AC61" s="340"/>
      <c r="AD61" s="340"/>
      <c r="AE61" s="340"/>
      <c r="AF61" s="340"/>
      <c r="AG61" s="6"/>
      <c r="AH61" s="6"/>
      <c r="AI61" s="148"/>
      <c r="AJ61" s="6"/>
      <c r="AK61" s="6"/>
      <c r="AR61" s="6"/>
      <c r="AS61" s="6"/>
      <c r="AT61" s="148"/>
      <c r="AU61" s="6"/>
      <c r="AV61" s="340"/>
      <c r="AW61" s="340"/>
      <c r="AX61" s="340"/>
      <c r="AY61" s="340"/>
      <c r="AZ61" s="340"/>
      <c r="BA61" s="340"/>
      <c r="BB61" s="340"/>
      <c r="BC61" s="340"/>
      <c r="BD61" s="6"/>
      <c r="BE61" s="148"/>
      <c r="BF61" s="6"/>
      <c r="BG61" s="6"/>
      <c r="BH61" s="6"/>
      <c r="BI61" s="6"/>
      <c r="BJ61" s="6"/>
      <c r="BK61" s="6"/>
      <c r="BL61" s="6"/>
      <c r="BM61" s="6"/>
      <c r="BN61" s="6"/>
      <c r="BO61" s="6"/>
      <c r="BP61" s="148"/>
      <c r="BQ61" s="6"/>
      <c r="BR61" s="6"/>
      <c r="BS61" s="6"/>
      <c r="BT61" s="6"/>
      <c r="BU61" s="6"/>
      <c r="BV61" s="6"/>
      <c r="BW61" s="6"/>
      <c r="BX61" s="6"/>
      <c r="BY61" s="6"/>
      <c r="BZ61" s="6"/>
      <c r="CA61" s="148"/>
    </row>
    <row r="62" spans="1:79" ht="22.5" customHeight="1">
      <c r="A62" s="148"/>
      <c r="B62" s="6"/>
      <c r="C62" s="6"/>
      <c r="D62" s="230">
        <v>3</v>
      </c>
      <c r="E62" s="510" t="s">
        <v>281</v>
      </c>
      <c r="F62" s="487"/>
      <c r="G62" s="250" t="b">
        <v>1</v>
      </c>
      <c r="H62" s="250" t="b">
        <v>1</v>
      </c>
      <c r="I62" s="251" t="b">
        <v>1</v>
      </c>
      <c r="J62" s="6"/>
      <c r="K62" s="6"/>
      <c r="L62" s="148"/>
      <c r="M62" s="148"/>
      <c r="N62" s="6"/>
      <c r="O62" s="6"/>
      <c r="P62" s="340"/>
      <c r="Q62" s="340"/>
      <c r="R62" s="340"/>
      <c r="S62" s="340"/>
      <c r="T62" s="340"/>
      <c r="U62" s="340"/>
      <c r="V62" s="6"/>
      <c r="W62" s="6"/>
      <c r="X62" s="148"/>
      <c r="Y62" s="6"/>
      <c r="Z62" s="6"/>
      <c r="AA62" s="340"/>
      <c r="AB62" s="340"/>
      <c r="AC62" s="340"/>
      <c r="AD62" s="340"/>
      <c r="AE62" s="340"/>
      <c r="AF62" s="340"/>
      <c r="AG62" s="6"/>
      <c r="AH62" s="6"/>
      <c r="AI62" s="148"/>
      <c r="AJ62" s="6"/>
      <c r="AK62" s="6"/>
      <c r="AL62" s="340"/>
      <c r="AM62" s="340"/>
      <c r="AN62" s="340"/>
      <c r="AO62" s="340"/>
      <c r="AP62" s="340"/>
      <c r="AQ62" s="340"/>
      <c r="AR62" s="6"/>
      <c r="AS62" s="6"/>
      <c r="AT62" s="148"/>
      <c r="AU62" s="6"/>
      <c r="AV62" s="6"/>
      <c r="AW62" s="340"/>
      <c r="AX62" s="340"/>
      <c r="AY62" s="340"/>
      <c r="AZ62" s="340"/>
      <c r="BA62" s="340"/>
      <c r="BB62" s="340"/>
      <c r="BC62" s="6"/>
      <c r="BD62" s="6"/>
      <c r="BE62" s="148"/>
      <c r="BF62" s="6"/>
      <c r="BG62" s="6"/>
      <c r="BH62" s="6"/>
      <c r="BI62" s="6"/>
      <c r="BJ62" s="6"/>
      <c r="BK62" s="6"/>
      <c r="BL62" s="6"/>
      <c r="BM62" s="6"/>
      <c r="BN62" s="6"/>
      <c r="BO62" s="6"/>
      <c r="BP62" s="148"/>
      <c r="BQ62" s="6"/>
      <c r="BR62" s="6"/>
      <c r="BS62" s="6"/>
      <c r="BT62" s="6"/>
      <c r="BU62" s="6"/>
      <c r="BV62" s="6"/>
      <c r="BW62" s="6"/>
      <c r="BX62" s="6"/>
      <c r="BY62" s="6"/>
      <c r="BZ62" s="6"/>
      <c r="CA62" s="148"/>
    </row>
    <row r="63" spans="1:79" ht="22.5" customHeight="1">
      <c r="A63" s="148"/>
      <c r="B63" s="6"/>
      <c r="C63" s="6"/>
      <c r="D63" s="230">
        <v>4</v>
      </c>
      <c r="E63" s="511" t="s">
        <v>282</v>
      </c>
      <c r="F63" s="495"/>
      <c r="G63" s="250" t="b">
        <v>1</v>
      </c>
      <c r="H63" s="250" t="b">
        <v>1</v>
      </c>
      <c r="I63" s="251" t="b">
        <v>1</v>
      </c>
      <c r="J63" s="6"/>
      <c r="K63" s="6"/>
      <c r="L63" s="148"/>
      <c r="M63" s="148"/>
      <c r="N63" s="6"/>
      <c r="O63" s="6"/>
      <c r="P63" s="340"/>
      <c r="Q63" s="340"/>
      <c r="R63" s="340"/>
      <c r="S63" s="340"/>
      <c r="T63" s="340"/>
      <c r="U63" s="340"/>
      <c r="V63" s="6"/>
      <c r="W63" s="6"/>
      <c r="X63" s="148"/>
      <c r="Y63" s="6"/>
      <c r="Z63" s="6"/>
      <c r="AA63" s="340"/>
      <c r="AB63" s="340"/>
      <c r="AC63" s="340"/>
      <c r="AD63" s="340"/>
      <c r="AE63" s="340"/>
      <c r="AF63" s="340"/>
      <c r="AG63" s="6"/>
      <c r="AH63" s="6"/>
      <c r="AI63" s="148"/>
      <c r="AJ63" s="6"/>
      <c r="AK63" s="6"/>
      <c r="AL63" s="340"/>
      <c r="AM63" s="340"/>
      <c r="AN63" s="340"/>
      <c r="AO63" s="340"/>
      <c r="AP63" s="340"/>
      <c r="AQ63" s="340"/>
      <c r="AR63" s="6"/>
      <c r="AS63" s="6"/>
      <c r="AT63" s="148"/>
      <c r="AU63" s="6"/>
      <c r="AV63" s="6"/>
      <c r="AW63" s="340"/>
      <c r="AX63" s="340"/>
      <c r="AY63" s="340"/>
      <c r="AZ63" s="340"/>
      <c r="BA63" s="340"/>
      <c r="BB63" s="340"/>
      <c r="BC63" s="6"/>
      <c r="BD63" s="6"/>
      <c r="BE63" s="148"/>
      <c r="BF63" s="6"/>
      <c r="BG63" s="6"/>
      <c r="BH63" s="6"/>
      <c r="BI63" s="6"/>
      <c r="BJ63" s="6"/>
      <c r="BK63" s="6"/>
      <c r="BL63" s="6"/>
      <c r="BM63" s="6"/>
      <c r="BN63" s="6"/>
      <c r="BO63" s="6"/>
      <c r="BP63" s="148"/>
      <c r="BQ63" s="6"/>
      <c r="BR63" s="6"/>
      <c r="BS63" s="6"/>
      <c r="BT63" s="6"/>
      <c r="BU63" s="6"/>
      <c r="BV63" s="6"/>
      <c r="BW63" s="6"/>
      <c r="BX63" s="6"/>
      <c r="BY63" s="6"/>
      <c r="BZ63" s="6"/>
      <c r="CA63" s="148"/>
    </row>
    <row r="64" spans="1:79" ht="22.5" customHeight="1">
      <c r="A64" s="148"/>
      <c r="B64" s="6"/>
      <c r="C64" s="6"/>
      <c r="D64" s="230">
        <v>5</v>
      </c>
      <c r="E64" s="510" t="s">
        <v>283</v>
      </c>
      <c r="F64" s="487"/>
      <c r="G64" s="317" t="s">
        <v>58</v>
      </c>
      <c r="H64" s="250" t="b">
        <v>1</v>
      </c>
      <c r="I64" s="251" t="b">
        <v>1</v>
      </c>
      <c r="J64" s="6"/>
      <c r="K64" s="6"/>
      <c r="L64" s="148"/>
      <c r="M64" s="148"/>
      <c r="N64" s="6"/>
      <c r="O64" s="6"/>
      <c r="P64" s="340"/>
      <c r="Q64" s="340"/>
      <c r="R64" s="340"/>
      <c r="S64" s="340"/>
      <c r="T64" s="340"/>
      <c r="U64" s="340"/>
      <c r="V64" s="6"/>
      <c r="W64" s="6"/>
      <c r="X64" s="148"/>
      <c r="Y64" s="6"/>
      <c r="Z64" s="6"/>
      <c r="AA64" s="340"/>
      <c r="AB64" s="340"/>
      <c r="AC64" s="340"/>
      <c r="AD64" s="340"/>
      <c r="AE64" s="340"/>
      <c r="AF64" s="340"/>
      <c r="AG64" s="6"/>
      <c r="AH64" s="6"/>
      <c r="AI64" s="148"/>
      <c r="AJ64" s="6"/>
      <c r="AK64" s="6"/>
      <c r="AL64" s="340"/>
      <c r="AM64" s="340"/>
      <c r="AN64" s="340"/>
      <c r="AO64" s="340"/>
      <c r="AP64" s="340"/>
      <c r="AQ64" s="340"/>
      <c r="AR64" s="6"/>
      <c r="AS64" s="6"/>
      <c r="AT64" s="148"/>
      <c r="AU64" s="6"/>
      <c r="AV64" s="6"/>
      <c r="AW64" s="340"/>
      <c r="AX64" s="340"/>
      <c r="AY64" s="340"/>
      <c r="AZ64" s="340"/>
      <c r="BA64" s="340"/>
      <c r="BB64" s="340"/>
      <c r="BC64" s="6"/>
      <c r="BD64" s="6"/>
      <c r="BE64" s="148"/>
      <c r="BF64" s="6"/>
      <c r="BG64" s="6"/>
      <c r="BH64" s="6"/>
      <c r="BI64" s="6"/>
      <c r="BJ64" s="6"/>
      <c r="BK64" s="6"/>
      <c r="BL64" s="6"/>
      <c r="BM64" s="6"/>
      <c r="BN64" s="6"/>
      <c r="BO64" s="6"/>
      <c r="BP64" s="148"/>
      <c r="BQ64" s="6"/>
      <c r="BR64" s="6"/>
      <c r="BS64" s="6"/>
      <c r="BT64" s="6"/>
      <c r="BU64" s="6"/>
      <c r="BV64" s="6"/>
      <c r="BW64" s="6"/>
      <c r="BX64" s="6"/>
      <c r="BY64" s="6"/>
      <c r="BZ64" s="6"/>
      <c r="CA64" s="148"/>
    </row>
    <row r="65" spans="1:79" ht="22.5" customHeight="1">
      <c r="A65" s="148"/>
      <c r="B65" s="6"/>
      <c r="C65" s="6"/>
      <c r="D65" s="230">
        <v>6</v>
      </c>
      <c r="E65" s="511" t="s">
        <v>284</v>
      </c>
      <c r="F65" s="495"/>
      <c r="G65" s="317" t="s">
        <v>58</v>
      </c>
      <c r="H65" s="250" t="b">
        <v>1</v>
      </c>
      <c r="I65" s="251" t="b">
        <v>1</v>
      </c>
      <c r="J65" s="6"/>
      <c r="K65" s="6"/>
      <c r="L65" s="148"/>
      <c r="M65" s="148"/>
      <c r="N65" s="6"/>
      <c r="O65" s="6"/>
      <c r="P65" s="340"/>
      <c r="Q65" s="340"/>
      <c r="R65" s="340"/>
      <c r="S65" s="340"/>
      <c r="T65" s="340"/>
      <c r="U65" s="340"/>
      <c r="V65" s="6"/>
      <c r="W65" s="6"/>
      <c r="X65" s="148"/>
      <c r="Y65" s="6"/>
      <c r="Z65" s="6"/>
      <c r="AA65" s="340"/>
      <c r="AB65" s="340"/>
      <c r="AC65" s="340"/>
      <c r="AD65" s="358"/>
      <c r="AE65" s="358"/>
      <c r="AF65" s="358"/>
      <c r="AG65" s="6"/>
      <c r="AH65" s="6"/>
      <c r="AI65" s="148"/>
      <c r="AJ65" s="6"/>
      <c r="AK65" s="6"/>
      <c r="AL65" s="340"/>
      <c r="AM65" s="340"/>
      <c r="AN65" s="340"/>
      <c r="AO65" s="340"/>
      <c r="AP65" s="340"/>
      <c r="AQ65" s="340"/>
      <c r="AR65" s="6"/>
      <c r="AS65" s="6"/>
      <c r="AT65" s="148"/>
      <c r="AU65" s="6"/>
      <c r="AV65" s="6"/>
      <c r="AW65" s="340"/>
      <c r="AX65" s="340"/>
      <c r="AY65" s="340"/>
      <c r="AZ65" s="340"/>
      <c r="BA65" s="340"/>
      <c r="BB65" s="340"/>
      <c r="BC65" s="6"/>
      <c r="BD65" s="6"/>
      <c r="BE65" s="148"/>
      <c r="BF65" s="6"/>
      <c r="BG65" s="6"/>
      <c r="BH65" s="6"/>
      <c r="BI65" s="6"/>
      <c r="BJ65" s="6"/>
      <c r="BK65" s="6"/>
      <c r="BL65" s="6"/>
      <c r="BM65" s="6"/>
      <c r="BN65" s="6"/>
      <c r="BO65" s="6"/>
      <c r="BP65" s="148"/>
      <c r="BQ65" s="6"/>
      <c r="BR65" s="6"/>
      <c r="BS65" s="6"/>
      <c r="BT65" s="6"/>
      <c r="BU65" s="6"/>
      <c r="BV65" s="6"/>
      <c r="BW65" s="6"/>
      <c r="BX65" s="6"/>
      <c r="BY65" s="6"/>
      <c r="BZ65" s="6"/>
      <c r="CA65" s="148"/>
    </row>
    <row r="66" spans="1:79" ht="22.5" customHeight="1">
      <c r="A66" s="148"/>
      <c r="B66" s="6"/>
      <c r="C66" s="6"/>
      <c r="D66" s="230">
        <v>7</v>
      </c>
      <c r="E66" s="511" t="s">
        <v>285</v>
      </c>
      <c r="F66" s="495"/>
      <c r="G66" s="317" t="s">
        <v>58</v>
      </c>
      <c r="H66" s="250" t="b">
        <v>1</v>
      </c>
      <c r="I66" s="251" t="b">
        <v>1</v>
      </c>
      <c r="J66" s="6"/>
      <c r="K66" s="6"/>
      <c r="L66" s="148"/>
      <c r="M66" s="148"/>
      <c r="N66" s="6"/>
      <c r="O66" s="6"/>
      <c r="P66" s="340"/>
      <c r="Q66" s="340"/>
      <c r="R66" s="340"/>
      <c r="S66" s="340"/>
      <c r="T66" s="340"/>
      <c r="U66" s="340"/>
      <c r="V66" s="6"/>
      <c r="W66" s="6"/>
      <c r="X66" s="148"/>
      <c r="Y66" s="6"/>
      <c r="Z66" s="6"/>
      <c r="AA66" s="340"/>
      <c r="AB66" s="340"/>
      <c r="AC66" s="340"/>
      <c r="AD66" s="358"/>
      <c r="AE66" s="358"/>
      <c r="AF66" s="358"/>
      <c r="AG66" s="6"/>
      <c r="AH66" s="6"/>
      <c r="AI66" s="148"/>
      <c r="AJ66" s="6"/>
      <c r="AK66" s="6"/>
      <c r="AL66" s="340"/>
      <c r="AM66" s="340"/>
      <c r="AN66" s="340"/>
      <c r="AO66" s="340"/>
      <c r="AP66" s="340"/>
      <c r="AQ66" s="340"/>
      <c r="AR66" s="6"/>
      <c r="AS66" s="6"/>
      <c r="AT66" s="148"/>
      <c r="AU66" s="6"/>
      <c r="AV66" s="6"/>
      <c r="AW66" s="340"/>
      <c r="AX66" s="340"/>
      <c r="AY66" s="340"/>
      <c r="AZ66" s="340"/>
      <c r="BA66" s="340"/>
      <c r="BB66" s="340"/>
      <c r="BC66" s="6"/>
      <c r="BD66" s="6"/>
      <c r="BE66" s="148"/>
      <c r="BF66" s="6"/>
      <c r="BG66" s="6"/>
      <c r="BH66" s="6"/>
      <c r="BI66" s="6"/>
      <c r="BJ66" s="6"/>
      <c r="BK66" s="6"/>
      <c r="BL66" s="6"/>
      <c r="BM66" s="6"/>
      <c r="BN66" s="6"/>
      <c r="BO66" s="6"/>
      <c r="BP66" s="148"/>
      <c r="BQ66" s="6"/>
      <c r="BR66" s="6"/>
      <c r="BS66" s="6"/>
      <c r="BT66" s="6"/>
      <c r="BU66" s="6"/>
      <c r="BV66" s="6"/>
      <c r="BW66" s="6"/>
      <c r="BX66" s="6"/>
      <c r="BY66" s="6"/>
      <c r="BZ66" s="6"/>
      <c r="CA66" s="148"/>
    </row>
    <row r="67" spans="1:79" ht="22.5" customHeight="1">
      <c r="A67" s="148"/>
      <c r="B67" s="6"/>
      <c r="C67" s="6"/>
      <c r="D67" s="230">
        <v>8</v>
      </c>
      <c r="E67" s="511" t="s">
        <v>286</v>
      </c>
      <c r="F67" s="495"/>
      <c r="G67" s="317" t="s">
        <v>58</v>
      </c>
      <c r="H67" s="317" t="s">
        <v>58</v>
      </c>
      <c r="I67" s="251" t="b">
        <v>1</v>
      </c>
      <c r="J67" s="6"/>
      <c r="K67" s="6"/>
      <c r="L67" s="148"/>
      <c r="M67" s="148"/>
      <c r="N67" s="6"/>
      <c r="O67" s="6"/>
      <c r="P67" s="340"/>
      <c r="Q67" s="340"/>
      <c r="R67" s="340"/>
      <c r="S67" s="358"/>
      <c r="T67" s="358"/>
      <c r="U67" s="358"/>
      <c r="V67" s="6"/>
      <c r="W67" s="6"/>
      <c r="X67" s="148"/>
      <c r="Y67" s="6"/>
      <c r="Z67" s="6"/>
      <c r="AA67" s="340"/>
      <c r="AB67" s="340"/>
      <c r="AC67" s="340"/>
      <c r="AD67" s="358"/>
      <c r="AE67" s="358"/>
      <c r="AF67" s="358"/>
      <c r="AG67" s="6"/>
      <c r="AH67" s="6"/>
      <c r="AI67" s="148"/>
      <c r="AJ67" s="6"/>
      <c r="AK67" s="6"/>
      <c r="AL67" s="340"/>
      <c r="AM67" s="340"/>
      <c r="AN67" s="340"/>
      <c r="AO67" s="358"/>
      <c r="AP67" s="358"/>
      <c r="AQ67" s="358"/>
      <c r="AR67" s="6"/>
      <c r="AS67" s="6"/>
      <c r="AT67" s="148"/>
      <c r="AU67" s="6"/>
      <c r="AV67" s="6"/>
      <c r="AW67" s="340"/>
      <c r="AX67" s="340"/>
      <c r="AY67" s="340"/>
      <c r="AZ67" s="358"/>
      <c r="BA67" s="358"/>
      <c r="BB67" s="358"/>
      <c r="BC67" s="6"/>
      <c r="BD67" s="6"/>
      <c r="BE67" s="148"/>
      <c r="BF67" s="6"/>
      <c r="BG67" s="6"/>
      <c r="BH67" s="6"/>
      <c r="BI67" s="6"/>
      <c r="BJ67" s="6"/>
      <c r="BK67" s="6"/>
      <c r="BL67" s="6"/>
      <c r="BM67" s="6"/>
      <c r="BN67" s="6"/>
      <c r="BO67" s="6"/>
      <c r="BP67" s="148"/>
      <c r="BQ67" s="6"/>
      <c r="BR67" s="6"/>
      <c r="BS67" s="6"/>
      <c r="BT67" s="6"/>
      <c r="BU67" s="6"/>
      <c r="BV67" s="6"/>
      <c r="BW67" s="6"/>
      <c r="BX67" s="6"/>
      <c r="BY67" s="6"/>
      <c r="BZ67" s="6"/>
      <c r="CA67" s="148"/>
    </row>
    <row r="68" spans="1:79" ht="22.5" customHeight="1">
      <c r="A68" s="148"/>
      <c r="B68" s="6"/>
      <c r="C68" s="6"/>
      <c r="D68" s="289">
        <v>9</v>
      </c>
      <c r="E68" s="565" t="s">
        <v>287</v>
      </c>
      <c r="F68" s="566"/>
      <c r="G68" s="333" t="s">
        <v>58</v>
      </c>
      <c r="H68" s="333" t="s">
        <v>58</v>
      </c>
      <c r="I68" s="291" t="b">
        <v>1</v>
      </c>
      <c r="J68" s="6"/>
      <c r="K68" s="6"/>
      <c r="L68" s="148"/>
      <c r="M68" s="148"/>
      <c r="N68" s="6"/>
      <c r="O68" s="6"/>
      <c r="P68" s="340"/>
      <c r="Q68" s="340"/>
      <c r="R68" s="340"/>
      <c r="S68" s="358"/>
      <c r="T68" s="358"/>
      <c r="U68" s="358"/>
      <c r="V68" s="6"/>
      <c r="W68" s="6"/>
      <c r="X68" s="148"/>
      <c r="Y68" s="6"/>
      <c r="Z68" s="6"/>
      <c r="AA68" s="340"/>
      <c r="AB68" s="340"/>
      <c r="AC68" s="340"/>
      <c r="AD68" s="358"/>
      <c r="AE68" s="358"/>
      <c r="AF68" s="358"/>
      <c r="AG68" s="6"/>
      <c r="AH68" s="6"/>
      <c r="AI68" s="148"/>
      <c r="AJ68" s="6"/>
      <c r="AK68" s="6"/>
      <c r="AL68" s="340"/>
      <c r="AM68" s="340"/>
      <c r="AN68" s="340"/>
      <c r="AO68" s="358"/>
      <c r="AP68" s="358"/>
      <c r="AQ68" s="358"/>
      <c r="AR68" s="6"/>
      <c r="AS68" s="6"/>
      <c r="AT68" s="148"/>
      <c r="AU68" s="6"/>
      <c r="AV68" s="6"/>
      <c r="AW68" s="340"/>
      <c r="AX68" s="340"/>
      <c r="AY68" s="340"/>
      <c r="AZ68" s="358"/>
      <c r="BA68" s="358"/>
      <c r="BB68" s="358"/>
      <c r="BC68" s="6"/>
      <c r="BD68" s="6"/>
      <c r="BE68" s="148"/>
      <c r="BF68" s="6"/>
      <c r="BG68" s="6"/>
      <c r="BH68" s="6"/>
      <c r="BI68" s="6"/>
      <c r="BJ68" s="6"/>
      <c r="BK68" s="6"/>
      <c r="BL68" s="6"/>
      <c r="BM68" s="6"/>
      <c r="BN68" s="6"/>
      <c r="BO68" s="6"/>
      <c r="BP68" s="148"/>
      <c r="BQ68" s="6"/>
      <c r="BR68" s="6"/>
      <c r="BS68" s="6"/>
      <c r="BT68" s="6"/>
      <c r="BU68" s="6"/>
      <c r="BV68" s="6"/>
      <c r="BW68" s="6"/>
      <c r="BX68" s="6"/>
      <c r="BY68" s="6"/>
      <c r="BZ68" s="6"/>
      <c r="CA68" s="148"/>
    </row>
    <row r="69" spans="1:79" ht="12.5">
      <c r="A69" s="148"/>
      <c r="B69" s="6"/>
      <c r="C69" s="6"/>
      <c r="D69" s="6"/>
      <c r="E69" s="6"/>
      <c r="F69" s="6"/>
      <c r="G69" s="6"/>
      <c r="H69" s="6"/>
      <c r="I69" s="6"/>
      <c r="J69" s="6"/>
      <c r="K69" s="6"/>
      <c r="L69" s="148"/>
      <c r="M69" s="148"/>
      <c r="N69" s="6"/>
      <c r="O69" s="6"/>
      <c r="P69" s="340"/>
      <c r="Q69" s="340"/>
      <c r="R69" s="340"/>
      <c r="S69" s="358"/>
      <c r="T69" s="358"/>
      <c r="U69" s="358"/>
      <c r="V69" s="6"/>
      <c r="W69" s="6"/>
      <c r="X69" s="148"/>
      <c r="Y69" s="6"/>
      <c r="Z69" s="6"/>
      <c r="AB69" s="340"/>
      <c r="AC69" s="340"/>
      <c r="AG69" s="6"/>
      <c r="AH69" s="6"/>
      <c r="AI69" s="148"/>
      <c r="AJ69" s="6"/>
      <c r="AK69" s="6"/>
      <c r="AL69" s="340"/>
      <c r="AM69" s="340"/>
      <c r="AN69" s="340"/>
      <c r="AO69" s="358"/>
      <c r="AP69" s="358"/>
      <c r="AQ69" s="358"/>
      <c r="AR69" s="6"/>
      <c r="AS69" s="6"/>
      <c r="AT69" s="148"/>
      <c r="AU69" s="6"/>
      <c r="AV69" s="6"/>
      <c r="AW69" s="340"/>
      <c r="AX69" s="340"/>
      <c r="AY69" s="340"/>
      <c r="AZ69" s="358"/>
      <c r="BA69" s="358"/>
      <c r="BB69" s="358"/>
      <c r="BC69" s="6"/>
      <c r="BD69" s="6"/>
      <c r="BE69" s="148"/>
      <c r="BF69" s="6"/>
      <c r="BG69" s="6"/>
      <c r="BH69" s="6"/>
      <c r="BI69" s="6"/>
      <c r="BJ69" s="6"/>
      <c r="BK69" s="6"/>
      <c r="BL69" s="6"/>
      <c r="BM69" s="6"/>
      <c r="BN69" s="6"/>
      <c r="BO69" s="6"/>
      <c r="BP69" s="148"/>
      <c r="BQ69" s="6"/>
      <c r="BR69" s="6"/>
      <c r="BS69" s="6"/>
      <c r="BT69" s="6"/>
      <c r="BU69" s="6"/>
      <c r="BV69" s="6"/>
      <c r="BW69" s="6"/>
      <c r="BX69" s="6"/>
      <c r="BY69" s="6"/>
      <c r="BZ69" s="6"/>
      <c r="CA69" s="148"/>
    </row>
    <row r="70" spans="1:79" ht="37.5" customHeight="1">
      <c r="A70" s="148"/>
      <c r="B70" s="6"/>
      <c r="C70" s="6"/>
      <c r="D70" s="508" t="s">
        <v>213</v>
      </c>
      <c r="E70" s="509"/>
      <c r="F70" s="509"/>
      <c r="G70" s="157"/>
      <c r="H70" s="157"/>
      <c r="I70" s="158"/>
      <c r="J70" s="6"/>
      <c r="K70" s="6"/>
      <c r="L70" s="148"/>
      <c r="M70" s="148"/>
      <c r="N70" s="6"/>
      <c r="O70" s="6"/>
      <c r="P70" s="340"/>
      <c r="Q70" s="340"/>
      <c r="R70" s="340"/>
      <c r="S70" s="358"/>
      <c r="T70" s="358"/>
      <c r="U70" s="358"/>
      <c r="V70" s="6"/>
      <c r="W70" s="6"/>
      <c r="X70" s="148"/>
      <c r="Y70" s="6"/>
      <c r="Z70" s="6"/>
      <c r="AA70" s="6"/>
      <c r="AB70" s="6"/>
      <c r="AC70" s="6"/>
      <c r="AD70" s="6"/>
      <c r="AE70" s="6"/>
      <c r="AF70" s="6"/>
      <c r="AG70" s="6"/>
      <c r="AH70" s="6"/>
      <c r="AI70" s="148"/>
      <c r="AJ70" s="6"/>
      <c r="AK70" s="6"/>
      <c r="AL70" s="340"/>
      <c r="AM70" s="340"/>
      <c r="AN70" s="340"/>
      <c r="AO70" s="358"/>
      <c r="AP70" s="358"/>
      <c r="AQ70" s="358"/>
      <c r="AR70" s="6"/>
      <c r="AS70" s="6"/>
      <c r="AT70" s="148"/>
      <c r="AU70" s="6"/>
      <c r="AV70" s="6"/>
      <c r="AW70" s="340"/>
      <c r="AX70" s="340"/>
      <c r="AY70" s="340"/>
      <c r="AZ70" s="358"/>
      <c r="BA70" s="358"/>
      <c r="BB70" s="358"/>
      <c r="BC70" s="6"/>
      <c r="BD70" s="6"/>
      <c r="BE70" s="148"/>
      <c r="BF70" s="6"/>
      <c r="BG70" s="6"/>
      <c r="BH70" s="6"/>
      <c r="BI70" s="6"/>
      <c r="BJ70" s="6"/>
      <c r="BK70" s="6"/>
      <c r="BL70" s="6"/>
      <c r="BM70" s="6"/>
      <c r="BN70" s="6"/>
      <c r="BO70" s="6"/>
      <c r="BP70" s="148"/>
      <c r="BQ70" s="6"/>
      <c r="BR70" s="6"/>
      <c r="BS70" s="6"/>
      <c r="BT70" s="6"/>
      <c r="BU70" s="6"/>
      <c r="BV70" s="6"/>
      <c r="BW70" s="6"/>
      <c r="BX70" s="6"/>
      <c r="BY70" s="6"/>
      <c r="BZ70" s="6"/>
      <c r="CA70" s="148"/>
    </row>
    <row r="71" spans="1:79" ht="22.5" customHeight="1">
      <c r="A71" s="148"/>
      <c r="B71" s="6"/>
      <c r="C71" s="6"/>
      <c r="D71" s="230">
        <v>1</v>
      </c>
      <c r="E71" s="510" t="s">
        <v>77</v>
      </c>
      <c r="F71" s="487"/>
      <c r="G71" s="231" t="b">
        <v>1</v>
      </c>
      <c r="H71" s="231" t="b">
        <v>1</v>
      </c>
      <c r="I71" s="232" t="b">
        <v>1</v>
      </c>
      <c r="J71" s="6"/>
      <c r="K71" s="6"/>
      <c r="L71" s="148"/>
      <c r="M71" s="148"/>
      <c r="N71" s="6"/>
      <c r="O71" s="6"/>
      <c r="Q71" s="340"/>
      <c r="R71" s="340"/>
      <c r="V71" s="6"/>
      <c r="W71" s="6"/>
      <c r="X71" s="148"/>
      <c r="Y71" s="5"/>
      <c r="Z71" s="5"/>
      <c r="AA71" s="5"/>
      <c r="AB71" s="5"/>
      <c r="AC71" s="5"/>
      <c r="AD71" s="5"/>
      <c r="AE71" s="5"/>
      <c r="AF71" s="5"/>
      <c r="AG71" s="5"/>
      <c r="AH71" s="5"/>
      <c r="AI71" s="148"/>
      <c r="AJ71" s="6"/>
      <c r="AK71" s="6"/>
      <c r="AM71" s="340"/>
      <c r="AN71" s="340"/>
      <c r="AR71" s="6"/>
      <c r="AS71" s="6"/>
      <c r="AT71" s="148"/>
      <c r="AU71" s="6"/>
      <c r="AV71" s="6"/>
      <c r="AX71" s="340"/>
      <c r="AY71" s="340"/>
      <c r="BC71" s="6"/>
      <c r="BD71" s="6"/>
      <c r="BE71" s="148"/>
      <c r="BF71" s="6"/>
      <c r="BG71" s="6"/>
      <c r="BH71" s="6"/>
      <c r="BI71" s="6"/>
      <c r="BJ71" s="6"/>
      <c r="BK71" s="6"/>
      <c r="BL71" s="6"/>
      <c r="BM71" s="6"/>
      <c r="BN71" s="6"/>
      <c r="BO71" s="6"/>
      <c r="BP71" s="148"/>
      <c r="BQ71" s="6"/>
      <c r="BR71" s="6"/>
      <c r="BS71" s="6"/>
      <c r="BT71" s="6"/>
      <c r="BU71" s="6"/>
      <c r="BV71" s="6"/>
      <c r="BW71" s="6"/>
      <c r="BX71" s="6"/>
      <c r="BY71" s="6"/>
      <c r="BZ71" s="6"/>
      <c r="CA71" s="148"/>
    </row>
    <row r="72" spans="1:79" ht="22.5" customHeight="1">
      <c r="A72" s="148"/>
      <c r="B72" s="6"/>
      <c r="C72" s="6"/>
      <c r="D72" s="230">
        <v>2</v>
      </c>
      <c r="E72" s="511" t="s">
        <v>79</v>
      </c>
      <c r="F72" s="495"/>
      <c r="G72" s="250" t="b">
        <v>1</v>
      </c>
      <c r="H72" s="250" t="b">
        <v>1</v>
      </c>
      <c r="I72" s="251" t="b">
        <v>1</v>
      </c>
      <c r="J72" s="6"/>
      <c r="K72" s="6"/>
      <c r="L72" s="148"/>
      <c r="M72" s="148"/>
      <c r="N72" s="6"/>
      <c r="O72" s="6"/>
      <c r="P72" s="6"/>
      <c r="Q72" s="6"/>
      <c r="R72" s="6"/>
      <c r="S72" s="6"/>
      <c r="T72" s="6"/>
      <c r="U72" s="6"/>
      <c r="V72" s="6"/>
      <c r="W72" s="6"/>
      <c r="X72" s="148"/>
      <c r="Y72" s="5"/>
      <c r="Z72" s="5"/>
      <c r="AA72" s="5"/>
      <c r="AB72" s="5"/>
      <c r="AC72" s="5"/>
      <c r="AD72" s="5"/>
      <c r="AE72" s="5"/>
      <c r="AF72" s="5"/>
      <c r="AG72" s="5"/>
      <c r="AH72" s="5"/>
      <c r="AI72" s="148"/>
      <c r="AJ72" s="6"/>
      <c r="AS72" s="6"/>
      <c r="AT72" s="148"/>
      <c r="AU72" s="6"/>
      <c r="AV72" s="6"/>
      <c r="AW72" s="6"/>
      <c r="AX72" s="6"/>
      <c r="AY72" s="6"/>
      <c r="AZ72" s="6"/>
      <c r="BA72" s="6"/>
      <c r="BB72" s="6"/>
      <c r="BC72" s="6"/>
      <c r="BD72" s="6"/>
      <c r="BE72" s="148"/>
      <c r="BF72" s="6"/>
      <c r="BG72" s="6"/>
      <c r="BH72" s="6"/>
      <c r="BI72" s="6"/>
      <c r="BJ72" s="6"/>
      <c r="BK72" s="6"/>
      <c r="BL72" s="6"/>
      <c r="BM72" s="6"/>
      <c r="BN72" s="6"/>
      <c r="BO72" s="6"/>
      <c r="BP72" s="148"/>
      <c r="BQ72" s="6"/>
      <c r="BR72" s="6"/>
      <c r="BS72" s="6"/>
      <c r="BT72" s="6"/>
      <c r="BU72" s="6"/>
      <c r="BV72" s="6"/>
      <c r="BW72" s="6"/>
      <c r="BX72" s="6"/>
      <c r="BY72" s="6"/>
      <c r="BZ72" s="6"/>
      <c r="CA72" s="148"/>
    </row>
    <row r="73" spans="1:79" ht="22.5" customHeight="1">
      <c r="A73" s="148"/>
      <c r="B73" s="6"/>
      <c r="C73" s="6"/>
      <c r="D73" s="230">
        <v>3</v>
      </c>
      <c r="E73" s="510" t="s">
        <v>80</v>
      </c>
      <c r="F73" s="487"/>
      <c r="G73" s="250" t="b">
        <v>1</v>
      </c>
      <c r="H73" s="250" t="b">
        <v>1</v>
      </c>
      <c r="I73" s="251" t="b">
        <v>1</v>
      </c>
      <c r="J73" s="6"/>
      <c r="K73" s="6"/>
      <c r="L73" s="148"/>
      <c r="M73" s="148"/>
      <c r="N73" s="6"/>
      <c r="O73" s="6"/>
      <c r="P73" s="6"/>
      <c r="Q73" s="6"/>
      <c r="R73" s="6"/>
      <c r="S73" s="6"/>
      <c r="T73" s="6"/>
      <c r="U73" s="6"/>
      <c r="V73" s="6"/>
      <c r="W73" s="6"/>
      <c r="X73" s="148"/>
      <c r="Y73" s="5"/>
      <c r="Z73" s="5"/>
      <c r="AA73" s="5"/>
      <c r="AB73" s="5"/>
      <c r="AC73" s="5"/>
      <c r="AD73" s="5"/>
      <c r="AE73" s="5"/>
      <c r="AF73" s="5"/>
      <c r="AG73" s="5"/>
      <c r="AH73" s="5"/>
      <c r="AI73" s="148"/>
      <c r="AJ73" s="6"/>
      <c r="AS73" s="6"/>
      <c r="AT73" s="148"/>
      <c r="AU73" s="6"/>
      <c r="AV73" s="6"/>
      <c r="AW73" s="6"/>
      <c r="AX73" s="6"/>
      <c r="AY73" s="6"/>
      <c r="AZ73" s="6"/>
      <c r="BA73" s="6"/>
      <c r="BB73" s="6"/>
      <c r="BC73" s="6"/>
      <c r="BD73" s="6"/>
      <c r="BE73" s="148"/>
      <c r="BF73" s="6"/>
      <c r="BG73" s="6"/>
      <c r="BH73" s="6"/>
      <c r="BI73" s="6"/>
      <c r="BJ73" s="6"/>
      <c r="BK73" s="6"/>
      <c r="BL73" s="6"/>
      <c r="BM73" s="6"/>
      <c r="BN73" s="6"/>
      <c r="BO73" s="6"/>
      <c r="BP73" s="148"/>
      <c r="BQ73" s="6"/>
      <c r="BR73" s="6"/>
      <c r="BS73" s="6"/>
      <c r="BT73" s="6"/>
      <c r="BU73" s="6"/>
      <c r="BV73" s="6"/>
      <c r="BW73" s="6"/>
      <c r="BX73" s="6"/>
      <c r="BY73" s="6"/>
      <c r="BZ73" s="6"/>
      <c r="CA73" s="148"/>
    </row>
    <row r="74" spans="1:79" ht="22.5" customHeight="1">
      <c r="A74" s="148"/>
      <c r="B74" s="6"/>
      <c r="C74" s="6"/>
      <c r="D74" s="230">
        <v>4</v>
      </c>
      <c r="E74" s="511" t="s">
        <v>81</v>
      </c>
      <c r="F74" s="495"/>
      <c r="G74" s="317" t="s">
        <v>58</v>
      </c>
      <c r="H74" s="250" t="b">
        <v>1</v>
      </c>
      <c r="I74" s="251" t="b">
        <v>1</v>
      </c>
      <c r="J74" s="6"/>
      <c r="K74" s="6"/>
      <c r="L74" s="148"/>
      <c r="M74" s="148"/>
      <c r="N74" s="6"/>
      <c r="O74" s="6"/>
      <c r="P74" s="6"/>
      <c r="Q74" s="6"/>
      <c r="R74" s="6"/>
      <c r="S74" s="6"/>
      <c r="T74" s="6"/>
      <c r="U74" s="6"/>
      <c r="V74" s="6"/>
      <c r="W74" s="6"/>
      <c r="X74" s="148"/>
      <c r="Y74" s="5"/>
      <c r="Z74" s="5"/>
      <c r="AA74" s="5"/>
      <c r="AB74" s="5"/>
      <c r="AC74" s="5"/>
      <c r="AD74" s="5"/>
      <c r="AE74" s="5"/>
      <c r="AF74" s="5"/>
      <c r="AG74" s="5"/>
      <c r="AH74" s="5"/>
      <c r="AI74" s="148"/>
      <c r="AJ74" s="6"/>
      <c r="AK74" s="6"/>
      <c r="AL74" s="6"/>
      <c r="AM74" s="6"/>
      <c r="AN74" s="6"/>
      <c r="AO74" s="6"/>
      <c r="AP74" s="6"/>
      <c r="AQ74" s="6"/>
      <c r="AR74" s="6"/>
      <c r="AS74" s="6"/>
      <c r="AT74" s="148"/>
      <c r="AU74" s="6"/>
      <c r="AV74" s="6"/>
      <c r="AW74" s="6"/>
      <c r="AX74" s="6"/>
      <c r="AY74" s="6"/>
      <c r="AZ74" s="6"/>
      <c r="BA74" s="6"/>
      <c r="BB74" s="6"/>
      <c r="BC74" s="6"/>
      <c r="BD74" s="6"/>
      <c r="BE74" s="148"/>
      <c r="BF74" s="6"/>
      <c r="BG74" s="6"/>
      <c r="BH74" s="6"/>
      <c r="BI74" s="6"/>
      <c r="BJ74" s="6"/>
      <c r="BK74" s="6"/>
      <c r="BL74" s="6"/>
      <c r="BM74" s="6"/>
      <c r="BN74" s="6"/>
      <c r="BO74" s="6"/>
      <c r="BP74" s="148"/>
      <c r="BQ74" s="6"/>
      <c r="BR74" s="6"/>
      <c r="BS74" s="6"/>
      <c r="BT74" s="6"/>
      <c r="BU74" s="6"/>
      <c r="BV74" s="6"/>
      <c r="BW74" s="6"/>
      <c r="BX74" s="6"/>
      <c r="BY74" s="6"/>
      <c r="BZ74" s="6"/>
      <c r="CA74" s="148"/>
    </row>
    <row r="75" spans="1:79" ht="22.5" customHeight="1">
      <c r="A75" s="148"/>
      <c r="B75" s="6"/>
      <c r="C75" s="6"/>
      <c r="D75" s="230">
        <v>5</v>
      </c>
      <c r="E75" s="510" t="s">
        <v>82</v>
      </c>
      <c r="F75" s="487"/>
      <c r="G75" s="317" t="s">
        <v>58</v>
      </c>
      <c r="H75" s="250" t="b">
        <v>1</v>
      </c>
      <c r="I75" s="251" t="b">
        <v>1</v>
      </c>
      <c r="J75" s="6"/>
      <c r="K75" s="6"/>
      <c r="L75" s="148"/>
      <c r="M75" s="148"/>
      <c r="N75" s="6"/>
      <c r="O75" s="6"/>
      <c r="P75" s="6"/>
      <c r="Q75" s="6"/>
      <c r="R75" s="6"/>
      <c r="S75" s="6"/>
      <c r="T75" s="6"/>
      <c r="U75" s="6"/>
      <c r="V75" s="6"/>
      <c r="W75" s="6"/>
      <c r="X75" s="148"/>
      <c r="Y75" s="5"/>
      <c r="Z75" s="5"/>
      <c r="AA75" s="5"/>
      <c r="AB75" s="5"/>
      <c r="AC75" s="5"/>
      <c r="AD75" s="5"/>
      <c r="AE75" s="5"/>
      <c r="AF75" s="5"/>
      <c r="AG75" s="5"/>
      <c r="AH75" s="5"/>
      <c r="AI75" s="148"/>
      <c r="AJ75" s="6"/>
      <c r="AK75" s="6"/>
      <c r="AL75" s="6"/>
      <c r="AM75" s="6"/>
      <c r="AN75" s="6"/>
      <c r="AO75" s="6"/>
      <c r="AP75" s="6"/>
      <c r="AQ75" s="6"/>
      <c r="AR75" s="6"/>
      <c r="AS75" s="6"/>
      <c r="AT75" s="148"/>
      <c r="AU75" s="6"/>
      <c r="AV75" s="6"/>
      <c r="AW75" s="6"/>
      <c r="AX75" s="6"/>
      <c r="AY75" s="6"/>
      <c r="AZ75" s="6"/>
      <c r="BA75" s="6"/>
      <c r="BB75" s="6"/>
      <c r="BC75" s="6"/>
      <c r="BD75" s="6"/>
      <c r="BE75" s="148"/>
      <c r="BF75" s="6"/>
      <c r="BG75" s="6"/>
      <c r="BH75" s="6"/>
      <c r="BI75" s="6"/>
      <c r="BJ75" s="6"/>
      <c r="BK75" s="6"/>
      <c r="BL75" s="6"/>
      <c r="BM75" s="6"/>
      <c r="BN75" s="6"/>
      <c r="BO75" s="6"/>
      <c r="BP75" s="148"/>
      <c r="BQ75" s="6"/>
      <c r="BR75" s="6"/>
      <c r="BS75" s="6"/>
      <c r="BT75" s="6"/>
      <c r="BU75" s="6"/>
      <c r="BV75" s="6"/>
      <c r="BW75" s="6"/>
      <c r="BX75" s="6"/>
      <c r="BY75" s="6"/>
      <c r="BZ75" s="6"/>
      <c r="CA75" s="148"/>
    </row>
    <row r="76" spans="1:79" ht="22.5" customHeight="1">
      <c r="A76" s="148"/>
      <c r="B76" s="6"/>
      <c r="C76" s="6"/>
      <c r="D76" s="289">
        <v>6</v>
      </c>
      <c r="E76" s="570" t="s">
        <v>83</v>
      </c>
      <c r="F76" s="507"/>
      <c r="G76" s="333" t="s">
        <v>58</v>
      </c>
      <c r="H76" s="333" t="s">
        <v>58</v>
      </c>
      <c r="I76" s="291" t="b">
        <v>1</v>
      </c>
      <c r="J76" s="6"/>
      <c r="K76" s="6"/>
      <c r="L76" s="148"/>
      <c r="M76" s="148"/>
      <c r="N76" s="6"/>
      <c r="O76" s="6"/>
      <c r="P76" s="6"/>
      <c r="Q76" s="6"/>
      <c r="R76" s="6"/>
      <c r="S76" s="6"/>
      <c r="T76" s="6"/>
      <c r="U76" s="6"/>
      <c r="V76" s="6"/>
      <c r="W76" s="6"/>
      <c r="X76" s="148"/>
      <c r="Y76" s="5"/>
      <c r="Z76" s="5"/>
      <c r="AA76" s="5"/>
      <c r="AB76" s="5"/>
      <c r="AC76" s="5"/>
      <c r="AD76" s="5"/>
      <c r="AE76" s="5"/>
      <c r="AF76" s="5"/>
      <c r="AG76" s="5"/>
      <c r="AH76" s="5"/>
      <c r="AI76" s="148"/>
      <c r="AJ76" s="6"/>
      <c r="AK76" s="6"/>
      <c r="AL76" s="6"/>
      <c r="AM76" s="6"/>
      <c r="AN76" s="6"/>
      <c r="AO76" s="6"/>
      <c r="AP76" s="6"/>
      <c r="AQ76" s="6"/>
      <c r="AR76" s="6"/>
      <c r="AS76" s="6"/>
      <c r="AT76" s="148"/>
      <c r="AU76" s="6"/>
      <c r="AV76" s="6"/>
      <c r="AW76" s="6"/>
      <c r="AX76" s="6"/>
      <c r="AY76" s="6"/>
      <c r="AZ76" s="6"/>
      <c r="BA76" s="6"/>
      <c r="BB76" s="6"/>
      <c r="BC76" s="6"/>
      <c r="BD76" s="6"/>
      <c r="BE76" s="148"/>
      <c r="BF76" s="6"/>
      <c r="BG76" s="6"/>
      <c r="BH76" s="6"/>
      <c r="BI76" s="6"/>
      <c r="BJ76" s="6"/>
      <c r="BK76" s="6"/>
      <c r="BL76" s="6"/>
      <c r="BM76" s="6"/>
      <c r="BN76" s="6"/>
      <c r="BO76" s="6"/>
      <c r="BP76" s="148"/>
      <c r="BQ76" s="6"/>
      <c r="BR76" s="6"/>
      <c r="BS76" s="6"/>
      <c r="BT76" s="6"/>
      <c r="BU76" s="6"/>
      <c r="BV76" s="6"/>
      <c r="BW76" s="6"/>
      <c r="BX76" s="6"/>
      <c r="BY76" s="6"/>
      <c r="BZ76" s="6"/>
      <c r="CA76" s="148"/>
    </row>
    <row r="77" spans="1:79" ht="12.5">
      <c r="A77" s="148"/>
      <c r="B77" s="6"/>
      <c r="C77" s="6"/>
      <c r="D77" s="6"/>
      <c r="E77" s="6"/>
      <c r="F77" s="6"/>
      <c r="G77" s="6"/>
      <c r="H77" s="6"/>
      <c r="I77" s="6"/>
      <c r="J77" s="6"/>
      <c r="K77" s="6"/>
      <c r="L77" s="148"/>
      <c r="M77" s="148"/>
      <c r="N77" s="6"/>
      <c r="O77" s="6"/>
      <c r="P77" s="6"/>
      <c r="Q77" s="6"/>
      <c r="R77" s="6"/>
      <c r="S77" s="6"/>
      <c r="T77" s="6"/>
      <c r="U77" s="6"/>
      <c r="V77" s="6"/>
      <c r="W77" s="6"/>
      <c r="X77" s="148"/>
      <c r="Y77" s="5"/>
      <c r="Z77" s="5"/>
      <c r="AA77" s="5"/>
      <c r="AB77" s="5"/>
      <c r="AC77" s="5"/>
      <c r="AD77" s="5"/>
      <c r="AE77" s="5"/>
      <c r="AF77" s="5"/>
      <c r="AG77" s="5"/>
      <c r="AH77" s="5"/>
      <c r="AI77" s="148"/>
      <c r="AJ77" s="6"/>
      <c r="AK77" s="6"/>
      <c r="AL77" s="6"/>
      <c r="AM77" s="6"/>
      <c r="AN77" s="6"/>
      <c r="AO77" s="6"/>
      <c r="AP77" s="6"/>
      <c r="AQ77" s="6"/>
      <c r="AR77" s="6"/>
      <c r="AS77" s="6"/>
      <c r="AT77" s="148"/>
      <c r="AU77" s="6"/>
      <c r="AV77" s="6"/>
      <c r="AW77" s="6"/>
      <c r="AX77" s="6"/>
      <c r="AY77" s="6"/>
      <c r="AZ77" s="6"/>
      <c r="BA77" s="6"/>
      <c r="BB77" s="6"/>
      <c r="BC77" s="6"/>
      <c r="BD77" s="6"/>
      <c r="BE77" s="148"/>
      <c r="BF77" s="6"/>
      <c r="BG77" s="6"/>
      <c r="BH77" s="6"/>
      <c r="BI77" s="6"/>
      <c r="BJ77" s="6"/>
      <c r="BK77" s="6"/>
      <c r="BL77" s="6"/>
      <c r="BM77" s="6"/>
      <c r="BN77" s="6"/>
      <c r="BO77" s="6"/>
      <c r="BP77" s="148"/>
      <c r="BQ77" s="6"/>
      <c r="BR77" s="6"/>
      <c r="BS77" s="6"/>
      <c r="BT77" s="6"/>
      <c r="BU77" s="6"/>
      <c r="BV77" s="6"/>
      <c r="BW77" s="6"/>
      <c r="BX77" s="6"/>
      <c r="BY77" s="6"/>
      <c r="BZ77" s="6"/>
      <c r="CA77" s="148"/>
    </row>
    <row r="78" spans="1:79" ht="37.5" customHeight="1">
      <c r="A78" s="148"/>
      <c r="B78" s="6"/>
      <c r="C78" s="6"/>
      <c r="D78" s="508" t="s">
        <v>248</v>
      </c>
      <c r="E78" s="509"/>
      <c r="F78" s="509"/>
      <c r="G78" s="157"/>
      <c r="H78" s="157"/>
      <c r="I78" s="158"/>
      <c r="J78" s="6"/>
      <c r="K78" s="6"/>
      <c r="L78" s="148"/>
      <c r="M78" s="148"/>
      <c r="N78" s="6"/>
      <c r="O78" s="6"/>
      <c r="P78" s="6"/>
      <c r="Q78" s="6"/>
      <c r="R78" s="6"/>
      <c r="S78" s="6"/>
      <c r="T78" s="6"/>
      <c r="U78" s="6"/>
      <c r="V78" s="6"/>
      <c r="W78" s="6"/>
      <c r="X78" s="148"/>
      <c r="Y78" s="5"/>
      <c r="Z78" s="5"/>
      <c r="AA78" s="5"/>
      <c r="AB78" s="5"/>
      <c r="AC78" s="5"/>
      <c r="AD78" s="5"/>
      <c r="AE78" s="5"/>
      <c r="AF78" s="5"/>
      <c r="AG78" s="5"/>
      <c r="AH78" s="5"/>
      <c r="AI78" s="148"/>
      <c r="AJ78" s="6"/>
      <c r="AK78" s="6"/>
      <c r="AL78" s="6"/>
      <c r="AM78" s="6"/>
      <c r="AN78" s="6"/>
      <c r="AO78" s="6"/>
      <c r="AP78" s="6"/>
      <c r="AQ78" s="6"/>
      <c r="AR78" s="6"/>
      <c r="AS78" s="6"/>
      <c r="AT78" s="148"/>
      <c r="AU78" s="6"/>
      <c r="AV78" s="6"/>
      <c r="AW78" s="6"/>
      <c r="AX78" s="6"/>
      <c r="AY78" s="6"/>
      <c r="AZ78" s="6"/>
      <c r="BA78" s="6"/>
      <c r="BB78" s="6"/>
      <c r="BC78" s="6"/>
      <c r="BD78" s="6"/>
      <c r="BE78" s="148"/>
      <c r="BF78" s="6"/>
      <c r="BG78" s="6"/>
      <c r="BH78" s="6"/>
      <c r="BI78" s="6"/>
      <c r="BJ78" s="6"/>
      <c r="BK78" s="6"/>
      <c r="BL78" s="6"/>
      <c r="BM78" s="6"/>
      <c r="BN78" s="6"/>
      <c r="BO78" s="6"/>
      <c r="BP78" s="148"/>
      <c r="BQ78" s="6"/>
      <c r="BR78" s="6"/>
      <c r="BS78" s="6"/>
      <c r="BT78" s="6"/>
      <c r="BU78" s="6"/>
      <c r="BV78" s="6"/>
      <c r="BW78" s="6"/>
      <c r="BX78" s="6"/>
      <c r="BY78" s="6"/>
      <c r="BZ78" s="6"/>
      <c r="CA78" s="148"/>
    </row>
    <row r="79" spans="1:79" ht="22.5" customHeight="1">
      <c r="A79" s="148"/>
      <c r="B79" s="6"/>
      <c r="C79" s="6"/>
      <c r="D79" s="230">
        <v>1</v>
      </c>
      <c r="E79" s="510" t="s">
        <v>86</v>
      </c>
      <c r="F79" s="487"/>
      <c r="G79" s="231" t="b">
        <v>1</v>
      </c>
      <c r="H79" s="231" t="b">
        <v>1</v>
      </c>
      <c r="I79" s="232" t="b">
        <v>1</v>
      </c>
      <c r="J79" s="6"/>
      <c r="K79" s="6"/>
      <c r="L79" s="148"/>
      <c r="M79" s="148"/>
      <c r="N79" s="6"/>
      <c r="O79" s="6"/>
      <c r="P79" s="6"/>
      <c r="Q79" s="6"/>
      <c r="R79" s="6"/>
      <c r="S79" s="6"/>
      <c r="T79" s="6"/>
      <c r="U79" s="6"/>
      <c r="V79" s="6"/>
      <c r="W79" s="6"/>
      <c r="X79" s="148"/>
      <c r="Y79" s="5"/>
      <c r="Z79" s="5"/>
      <c r="AA79" s="5"/>
      <c r="AB79" s="5"/>
      <c r="AC79" s="5"/>
      <c r="AD79" s="5"/>
      <c r="AE79" s="5"/>
      <c r="AF79" s="5"/>
      <c r="AG79" s="5"/>
      <c r="AH79" s="5"/>
      <c r="AI79" s="148"/>
      <c r="AJ79" s="6"/>
      <c r="AK79" s="6"/>
      <c r="AL79" s="6"/>
      <c r="AM79" s="6"/>
      <c r="AN79" s="6"/>
      <c r="AO79" s="6"/>
      <c r="AP79" s="6"/>
      <c r="AQ79" s="6"/>
      <c r="AR79" s="6"/>
      <c r="AS79" s="6"/>
      <c r="AT79" s="148"/>
      <c r="AU79" s="6"/>
      <c r="AV79" s="6"/>
      <c r="AW79" s="6"/>
      <c r="AX79" s="6"/>
      <c r="AY79" s="6"/>
      <c r="AZ79" s="6"/>
      <c r="BA79" s="6"/>
      <c r="BB79" s="6"/>
      <c r="BC79" s="6"/>
      <c r="BD79" s="6"/>
      <c r="BE79" s="148"/>
      <c r="BF79" s="6"/>
      <c r="BG79" s="6"/>
      <c r="BH79" s="6"/>
      <c r="BI79" s="6"/>
      <c r="BJ79" s="6"/>
      <c r="BK79" s="6"/>
      <c r="BL79" s="6"/>
      <c r="BM79" s="6"/>
      <c r="BN79" s="6"/>
      <c r="BO79" s="6"/>
      <c r="BP79" s="148"/>
      <c r="BQ79" s="6"/>
      <c r="BR79" s="6"/>
      <c r="BS79" s="6"/>
      <c r="BT79" s="6"/>
      <c r="BU79" s="6"/>
      <c r="BV79" s="6"/>
      <c r="BW79" s="6"/>
      <c r="BX79" s="6"/>
      <c r="BY79" s="6"/>
      <c r="BZ79" s="6"/>
      <c r="CA79" s="148"/>
    </row>
    <row r="80" spans="1:79" ht="22.5" customHeight="1">
      <c r="A80" s="148"/>
      <c r="B80" s="6"/>
      <c r="C80" s="6"/>
      <c r="D80" s="230">
        <v>2</v>
      </c>
      <c r="E80" s="511" t="s">
        <v>87</v>
      </c>
      <c r="F80" s="495"/>
      <c r="G80" s="250" t="b">
        <v>1</v>
      </c>
      <c r="H80" s="250" t="b">
        <v>1</v>
      </c>
      <c r="I80" s="251" t="b">
        <v>1</v>
      </c>
      <c r="J80" s="6"/>
      <c r="K80" s="6"/>
      <c r="L80" s="148"/>
      <c r="M80" s="148"/>
      <c r="N80" s="6"/>
      <c r="O80" s="6"/>
      <c r="P80" s="6"/>
      <c r="Q80" s="6"/>
      <c r="R80" s="6"/>
      <c r="S80" s="6"/>
      <c r="T80" s="6"/>
      <c r="U80" s="6"/>
      <c r="V80" s="6"/>
      <c r="W80" s="6"/>
      <c r="X80" s="148"/>
      <c r="Y80" s="5"/>
      <c r="Z80" s="5"/>
      <c r="AA80" s="5"/>
      <c r="AB80" s="5"/>
      <c r="AC80" s="5"/>
      <c r="AD80" s="5"/>
      <c r="AE80" s="5"/>
      <c r="AF80" s="5"/>
      <c r="AG80" s="5"/>
      <c r="AH80" s="5"/>
      <c r="AI80" s="148"/>
      <c r="AJ80" s="6"/>
      <c r="AK80" s="6"/>
      <c r="AL80" s="6"/>
      <c r="AM80" s="6"/>
      <c r="AN80" s="6"/>
      <c r="AO80" s="6"/>
      <c r="AP80" s="6"/>
      <c r="AQ80" s="6"/>
      <c r="AR80" s="6"/>
      <c r="AS80" s="6"/>
      <c r="AT80" s="148"/>
      <c r="AU80" s="6"/>
      <c r="AV80" s="6"/>
      <c r="AW80" s="6"/>
      <c r="AX80" s="6"/>
      <c r="AY80" s="6"/>
      <c r="AZ80" s="6"/>
      <c r="BA80" s="6"/>
      <c r="BB80" s="6"/>
      <c r="BC80" s="6"/>
      <c r="BD80" s="6"/>
      <c r="BE80" s="148"/>
      <c r="BF80" s="6"/>
      <c r="BG80" s="6"/>
      <c r="BH80" s="6"/>
      <c r="BI80" s="6"/>
      <c r="BJ80" s="6"/>
      <c r="BK80" s="6"/>
      <c r="BL80" s="6"/>
      <c r="BM80" s="6"/>
      <c r="BN80" s="6"/>
      <c r="BO80" s="6"/>
      <c r="BP80" s="148"/>
      <c r="BQ80" s="6"/>
      <c r="BR80" s="6"/>
      <c r="BS80" s="6"/>
      <c r="BT80" s="6"/>
      <c r="BU80" s="6"/>
      <c r="BV80" s="6"/>
      <c r="BW80" s="6"/>
      <c r="BX80" s="6"/>
      <c r="BY80" s="6"/>
      <c r="BZ80" s="6"/>
      <c r="CA80" s="148"/>
    </row>
    <row r="81" spans="1:79" ht="22.5" customHeight="1">
      <c r="A81" s="148"/>
      <c r="B81" s="6"/>
      <c r="C81" s="6"/>
      <c r="D81" s="230">
        <v>3</v>
      </c>
      <c r="E81" s="510" t="s">
        <v>88</v>
      </c>
      <c r="F81" s="487"/>
      <c r="G81" s="250" t="b">
        <v>1</v>
      </c>
      <c r="H81" s="250" t="b">
        <v>1</v>
      </c>
      <c r="I81" s="251" t="b">
        <v>1</v>
      </c>
      <c r="J81" s="6"/>
      <c r="K81" s="6"/>
      <c r="L81" s="148"/>
      <c r="M81" s="148"/>
      <c r="N81" s="6"/>
      <c r="O81" s="6"/>
      <c r="P81" s="6"/>
      <c r="Q81" s="6"/>
      <c r="R81" s="6"/>
      <c r="S81" s="6"/>
      <c r="T81" s="6"/>
      <c r="U81" s="6"/>
      <c r="V81" s="6"/>
      <c r="W81" s="6"/>
      <c r="X81" s="148"/>
      <c r="Y81" s="5"/>
      <c r="Z81" s="5"/>
      <c r="AA81" s="5"/>
      <c r="AB81" s="5"/>
      <c r="AC81" s="5"/>
      <c r="AD81" s="5"/>
      <c r="AE81" s="5"/>
      <c r="AF81" s="5"/>
      <c r="AG81" s="5"/>
      <c r="AH81" s="5"/>
      <c r="AI81" s="148"/>
      <c r="AJ81" s="6"/>
      <c r="AK81" s="6"/>
      <c r="AL81" s="6"/>
      <c r="AM81" s="6"/>
      <c r="AN81" s="6"/>
      <c r="AO81" s="6"/>
      <c r="AP81" s="6"/>
      <c r="AQ81" s="6"/>
      <c r="AR81" s="6"/>
      <c r="AS81" s="6"/>
      <c r="AT81" s="148"/>
      <c r="AU81" s="6"/>
      <c r="AV81" s="6"/>
      <c r="AW81" s="6"/>
      <c r="AX81" s="6"/>
      <c r="AY81" s="6"/>
      <c r="AZ81" s="6"/>
      <c r="BA81" s="6"/>
      <c r="BB81" s="6"/>
      <c r="BC81" s="6"/>
      <c r="BD81" s="6"/>
      <c r="BE81" s="148"/>
      <c r="BF81" s="6"/>
      <c r="BG81" s="6"/>
      <c r="BH81" s="6"/>
      <c r="BI81" s="6"/>
      <c r="BJ81" s="6"/>
      <c r="BK81" s="6"/>
      <c r="BL81" s="6"/>
      <c r="BM81" s="6"/>
      <c r="BN81" s="6"/>
      <c r="BO81" s="6"/>
      <c r="BP81" s="148"/>
      <c r="BQ81" s="6"/>
      <c r="BR81" s="6"/>
      <c r="BS81" s="6"/>
      <c r="BT81" s="6"/>
      <c r="BU81" s="6"/>
      <c r="BV81" s="6"/>
      <c r="BW81" s="6"/>
      <c r="BX81" s="6"/>
      <c r="BY81" s="6"/>
      <c r="BZ81" s="6"/>
      <c r="CA81" s="148"/>
    </row>
    <row r="82" spans="1:79" ht="22.5" customHeight="1">
      <c r="A82" s="148"/>
      <c r="B82" s="6"/>
      <c r="C82" s="6"/>
      <c r="D82" s="230">
        <v>4</v>
      </c>
      <c r="E82" s="511" t="s">
        <v>89</v>
      </c>
      <c r="F82" s="495"/>
      <c r="G82" s="317" t="s">
        <v>58</v>
      </c>
      <c r="H82" s="250" t="b">
        <v>1</v>
      </c>
      <c r="I82" s="251" t="b">
        <v>1</v>
      </c>
      <c r="J82" s="6"/>
      <c r="K82" s="6"/>
      <c r="L82" s="148"/>
      <c r="M82" s="148"/>
      <c r="N82" s="6"/>
      <c r="O82" s="6"/>
      <c r="P82" s="6"/>
      <c r="Q82" s="6"/>
      <c r="R82" s="6"/>
      <c r="S82" s="6"/>
      <c r="T82" s="6"/>
      <c r="U82" s="6"/>
      <c r="V82" s="6"/>
      <c r="W82" s="6"/>
      <c r="X82" s="148"/>
      <c r="Y82" s="5"/>
      <c r="Z82" s="5"/>
      <c r="AA82" s="5"/>
      <c r="AB82" s="5"/>
      <c r="AC82" s="5"/>
      <c r="AD82" s="5"/>
      <c r="AE82" s="5"/>
      <c r="AF82" s="5"/>
      <c r="AG82" s="5"/>
      <c r="AH82" s="5"/>
      <c r="AI82" s="148"/>
      <c r="AJ82" s="6"/>
      <c r="AK82" s="6"/>
      <c r="AL82" s="6"/>
      <c r="AM82" s="6"/>
      <c r="AN82" s="6"/>
      <c r="AO82" s="6"/>
      <c r="AP82" s="6"/>
      <c r="AQ82" s="6"/>
      <c r="AR82" s="6"/>
      <c r="AS82" s="6"/>
      <c r="AT82" s="148"/>
      <c r="AU82" s="6"/>
      <c r="AV82" s="6"/>
      <c r="AW82" s="6"/>
      <c r="AX82" s="6"/>
      <c r="AY82" s="6"/>
      <c r="AZ82" s="6"/>
      <c r="BA82" s="6"/>
      <c r="BB82" s="6"/>
      <c r="BC82" s="6"/>
      <c r="BD82" s="6"/>
      <c r="BE82" s="148"/>
      <c r="BF82" s="6"/>
      <c r="BG82" s="6"/>
      <c r="BH82" s="6"/>
      <c r="BI82" s="6"/>
      <c r="BJ82" s="6"/>
      <c r="BK82" s="6"/>
      <c r="BL82" s="6"/>
      <c r="BM82" s="6"/>
      <c r="BN82" s="6"/>
      <c r="BO82" s="6"/>
      <c r="BP82" s="148"/>
      <c r="BQ82" s="6"/>
      <c r="BR82" s="6"/>
      <c r="BS82" s="6"/>
      <c r="BT82" s="6"/>
      <c r="BU82" s="6"/>
      <c r="BV82" s="6"/>
      <c r="BW82" s="6"/>
      <c r="BX82" s="6"/>
      <c r="BY82" s="6"/>
      <c r="BZ82" s="6"/>
      <c r="CA82" s="148"/>
    </row>
    <row r="83" spans="1:79" ht="22.5" customHeight="1">
      <c r="A83" s="148"/>
      <c r="B83" s="6"/>
      <c r="C83" s="6"/>
      <c r="D83" s="289">
        <v>5</v>
      </c>
      <c r="E83" s="565" t="s">
        <v>90</v>
      </c>
      <c r="F83" s="566"/>
      <c r="G83" s="571" t="s">
        <v>266</v>
      </c>
      <c r="H83" s="552"/>
      <c r="I83" s="553"/>
      <c r="J83" s="6"/>
      <c r="K83" s="6"/>
      <c r="L83" s="148"/>
      <c r="M83" s="148"/>
      <c r="N83" s="6"/>
      <c r="O83" s="6"/>
      <c r="P83" s="6"/>
      <c r="Q83" s="6"/>
      <c r="R83" s="6"/>
      <c r="S83" s="6"/>
      <c r="T83" s="6"/>
      <c r="U83" s="6"/>
      <c r="V83" s="6"/>
      <c r="W83" s="6"/>
      <c r="X83" s="148"/>
      <c r="Y83" s="5"/>
      <c r="Z83" s="5"/>
      <c r="AA83" s="5"/>
      <c r="AB83" s="5"/>
      <c r="AC83" s="5"/>
      <c r="AD83" s="5"/>
      <c r="AE83" s="5"/>
      <c r="AF83" s="5"/>
      <c r="AG83" s="5"/>
      <c r="AH83" s="5"/>
      <c r="AI83" s="148"/>
      <c r="AJ83" s="6"/>
      <c r="AK83" s="6"/>
      <c r="AL83" s="6"/>
      <c r="AM83" s="6"/>
      <c r="AN83" s="6"/>
      <c r="AO83" s="6"/>
      <c r="AP83" s="6"/>
      <c r="AQ83" s="6"/>
      <c r="AR83" s="6"/>
      <c r="AS83" s="6"/>
      <c r="AT83" s="148"/>
      <c r="AU83" s="6"/>
      <c r="AV83" s="6"/>
      <c r="AW83" s="6"/>
      <c r="AX83" s="6"/>
      <c r="AY83" s="6"/>
      <c r="AZ83" s="6"/>
      <c r="BA83" s="6"/>
      <c r="BB83" s="6"/>
      <c r="BC83" s="6"/>
      <c r="BD83" s="6"/>
      <c r="BE83" s="148"/>
      <c r="BF83" s="6"/>
      <c r="BG83" s="6"/>
      <c r="BH83" s="6"/>
      <c r="BI83" s="6"/>
      <c r="BJ83" s="6"/>
      <c r="BK83" s="6"/>
      <c r="BL83" s="6"/>
      <c r="BM83" s="6"/>
      <c r="BN83" s="6"/>
      <c r="BO83" s="6"/>
      <c r="BP83" s="148"/>
      <c r="BQ83" s="6"/>
      <c r="BR83" s="6"/>
      <c r="BS83" s="6"/>
      <c r="BT83" s="6"/>
      <c r="BU83" s="6"/>
      <c r="BV83" s="6"/>
      <c r="BW83" s="6"/>
      <c r="BX83" s="6"/>
      <c r="BY83" s="6"/>
      <c r="BZ83" s="6"/>
      <c r="CA83" s="148"/>
    </row>
    <row r="84" spans="1:79" ht="12.5">
      <c r="A84" s="148"/>
      <c r="B84" s="6"/>
      <c r="C84" s="6"/>
      <c r="D84" s="6"/>
      <c r="E84" s="6"/>
      <c r="F84" s="6"/>
      <c r="G84" s="6"/>
      <c r="H84" s="6"/>
      <c r="I84" s="6"/>
      <c r="J84" s="6"/>
      <c r="K84" s="6"/>
      <c r="L84" s="148"/>
      <c r="M84" s="148"/>
      <c r="N84" s="6"/>
      <c r="O84" s="6"/>
      <c r="P84" s="6"/>
      <c r="Q84" s="6"/>
      <c r="R84" s="6"/>
      <c r="S84" s="6"/>
      <c r="T84" s="6"/>
      <c r="U84" s="6"/>
      <c r="V84" s="6"/>
      <c r="W84" s="6"/>
      <c r="X84" s="148"/>
      <c r="Y84" s="5"/>
      <c r="Z84" s="5"/>
      <c r="AA84" s="5"/>
      <c r="AB84" s="5"/>
      <c r="AC84" s="5"/>
      <c r="AD84" s="5"/>
      <c r="AE84" s="5"/>
      <c r="AF84" s="5"/>
      <c r="AG84" s="5"/>
      <c r="AH84" s="5"/>
      <c r="AI84" s="148"/>
      <c r="AJ84" s="6"/>
      <c r="AK84" s="6"/>
      <c r="AL84" s="6"/>
      <c r="AM84" s="6"/>
      <c r="AN84" s="6"/>
      <c r="AO84" s="6"/>
      <c r="AP84" s="6"/>
      <c r="AQ84" s="6"/>
      <c r="AR84" s="6"/>
      <c r="AS84" s="6"/>
      <c r="AT84" s="148"/>
      <c r="AU84" s="6"/>
      <c r="AV84" s="6"/>
      <c r="AW84" s="6"/>
      <c r="AX84" s="6"/>
      <c r="AY84" s="6"/>
      <c r="AZ84" s="6"/>
      <c r="BA84" s="6"/>
      <c r="BB84" s="6"/>
      <c r="BC84" s="6"/>
      <c r="BD84" s="6"/>
      <c r="BE84" s="148"/>
      <c r="BF84" s="6"/>
      <c r="BG84" s="6"/>
      <c r="BH84" s="6"/>
      <c r="BI84" s="6"/>
      <c r="BJ84" s="6"/>
      <c r="BK84" s="6"/>
      <c r="BL84" s="6"/>
      <c r="BM84" s="6"/>
      <c r="BN84" s="6"/>
      <c r="BO84" s="6"/>
      <c r="BP84" s="148"/>
      <c r="BQ84" s="6"/>
      <c r="BR84" s="6"/>
      <c r="BS84" s="6"/>
      <c r="BT84" s="6"/>
      <c r="BU84" s="6"/>
      <c r="BV84" s="6"/>
      <c r="BW84" s="6"/>
      <c r="BX84" s="6"/>
      <c r="BY84" s="6"/>
      <c r="BZ84" s="6"/>
      <c r="CA84" s="148"/>
    </row>
    <row r="85" spans="1:79" ht="37.5" customHeight="1">
      <c r="A85" s="148"/>
      <c r="B85" s="6"/>
      <c r="C85" s="6"/>
      <c r="D85" s="508" t="s">
        <v>288</v>
      </c>
      <c r="E85" s="509"/>
      <c r="F85" s="509"/>
      <c r="G85" s="157"/>
      <c r="H85" s="157"/>
      <c r="I85" s="158"/>
      <c r="J85" s="6"/>
      <c r="K85" s="6"/>
      <c r="L85" s="148"/>
      <c r="M85" s="148"/>
      <c r="N85" s="6"/>
      <c r="O85" s="6"/>
      <c r="P85" s="6"/>
      <c r="Q85" s="6"/>
      <c r="R85" s="6"/>
      <c r="S85" s="6"/>
      <c r="T85" s="6"/>
      <c r="U85" s="6"/>
      <c r="V85" s="6"/>
      <c r="W85" s="6"/>
      <c r="X85" s="148"/>
      <c r="Y85" s="5"/>
      <c r="Z85" s="5"/>
      <c r="AA85" s="5"/>
      <c r="AB85" s="5"/>
      <c r="AC85" s="5"/>
      <c r="AD85" s="5"/>
      <c r="AE85" s="5"/>
      <c r="AF85" s="5"/>
      <c r="AG85" s="5"/>
      <c r="AH85" s="5"/>
      <c r="AI85" s="148"/>
      <c r="AJ85" s="6"/>
      <c r="AK85" s="6"/>
      <c r="AL85" s="6"/>
      <c r="AM85" s="6"/>
      <c r="AN85" s="6"/>
      <c r="AO85" s="6"/>
      <c r="AP85" s="6"/>
      <c r="AQ85" s="6"/>
      <c r="AR85" s="6"/>
      <c r="AS85" s="6"/>
      <c r="AT85" s="148"/>
      <c r="AU85" s="6"/>
      <c r="AV85" s="6"/>
      <c r="AW85" s="6"/>
      <c r="AX85" s="6"/>
      <c r="AY85" s="6"/>
      <c r="AZ85" s="6"/>
      <c r="BA85" s="6"/>
      <c r="BB85" s="6"/>
      <c r="BC85" s="6"/>
      <c r="BD85" s="6"/>
      <c r="BE85" s="148"/>
      <c r="BF85" s="6"/>
      <c r="BG85" s="6"/>
      <c r="BH85" s="6"/>
      <c r="BI85" s="6"/>
      <c r="BJ85" s="6"/>
      <c r="BK85" s="6"/>
      <c r="BL85" s="6"/>
      <c r="BM85" s="6"/>
      <c r="BN85" s="6"/>
      <c r="BO85" s="6"/>
      <c r="BP85" s="148"/>
      <c r="BQ85" s="6"/>
      <c r="BR85" s="6"/>
      <c r="BS85" s="6"/>
      <c r="BT85" s="6"/>
      <c r="BU85" s="6"/>
      <c r="BV85" s="6"/>
      <c r="BW85" s="6"/>
      <c r="BX85" s="6"/>
      <c r="BY85" s="6"/>
      <c r="BZ85" s="6"/>
      <c r="CA85" s="148"/>
    </row>
    <row r="86" spans="1:79" ht="22.5" customHeight="1">
      <c r="A86" s="148"/>
      <c r="B86" s="6"/>
      <c r="C86" s="6"/>
      <c r="D86" s="230">
        <v>1</v>
      </c>
      <c r="E86" s="510" t="s">
        <v>92</v>
      </c>
      <c r="F86" s="487"/>
      <c r="G86" s="574" t="s">
        <v>289</v>
      </c>
      <c r="H86" s="437"/>
      <c r="I86" s="575"/>
      <c r="J86" s="6"/>
      <c r="K86" s="6"/>
      <c r="L86" s="148"/>
      <c r="M86" s="148"/>
      <c r="N86" s="6"/>
      <c r="O86" s="6"/>
      <c r="P86" s="6"/>
      <c r="Q86" s="6"/>
      <c r="R86" s="6"/>
      <c r="S86" s="6"/>
      <c r="T86" s="6"/>
      <c r="U86" s="6"/>
      <c r="V86" s="6"/>
      <c r="W86" s="6"/>
      <c r="X86" s="148"/>
      <c r="Y86" s="5"/>
      <c r="Z86" s="5"/>
      <c r="AA86" s="5"/>
      <c r="AB86" s="5"/>
      <c r="AC86" s="5"/>
      <c r="AD86" s="5"/>
      <c r="AE86" s="5"/>
      <c r="AF86" s="5"/>
      <c r="AG86" s="5"/>
      <c r="AH86" s="5"/>
      <c r="AI86" s="148"/>
      <c r="AJ86" s="6"/>
      <c r="AK86" s="6"/>
      <c r="AL86" s="6"/>
      <c r="AM86" s="6"/>
      <c r="AN86" s="6"/>
      <c r="AO86" s="6"/>
      <c r="AP86" s="6"/>
      <c r="AQ86" s="6"/>
      <c r="AR86" s="6"/>
      <c r="AS86" s="6"/>
      <c r="AT86" s="148"/>
      <c r="AU86" s="6"/>
      <c r="AV86" s="6"/>
      <c r="AW86" s="6"/>
      <c r="AX86" s="6"/>
      <c r="AY86" s="6"/>
      <c r="AZ86" s="6"/>
      <c r="BA86" s="6"/>
      <c r="BB86" s="6"/>
      <c r="BC86" s="6"/>
      <c r="BD86" s="6"/>
      <c r="BE86" s="148"/>
      <c r="BF86" s="6"/>
      <c r="BG86" s="6"/>
      <c r="BH86" s="6"/>
      <c r="BI86" s="6"/>
      <c r="BJ86" s="6"/>
      <c r="BK86" s="6"/>
      <c r="BL86" s="6"/>
      <c r="BM86" s="6"/>
      <c r="BN86" s="6"/>
      <c r="BO86" s="6"/>
      <c r="BP86" s="148"/>
      <c r="BQ86" s="6"/>
      <c r="BR86" s="6"/>
      <c r="BS86" s="6"/>
      <c r="BT86" s="6"/>
      <c r="BU86" s="6"/>
      <c r="BV86" s="6"/>
      <c r="BW86" s="6"/>
      <c r="BX86" s="6"/>
      <c r="BY86" s="6"/>
      <c r="BZ86" s="6"/>
      <c r="CA86" s="148"/>
    </row>
    <row r="87" spans="1:79" ht="22.5" customHeight="1">
      <c r="A87" s="148"/>
      <c r="B87" s="6"/>
      <c r="C87" s="6"/>
      <c r="D87" s="230">
        <v>2</v>
      </c>
      <c r="E87" s="511" t="s">
        <v>31</v>
      </c>
      <c r="F87" s="495"/>
      <c r="G87" s="576"/>
      <c r="H87" s="437"/>
      <c r="I87" s="575"/>
      <c r="J87" s="6"/>
      <c r="K87" s="6"/>
      <c r="L87" s="148"/>
      <c r="M87" s="148"/>
      <c r="N87" s="6"/>
      <c r="O87" s="6"/>
      <c r="P87" s="6"/>
      <c r="Q87" s="6"/>
      <c r="R87" s="6"/>
      <c r="S87" s="6"/>
      <c r="T87" s="6"/>
      <c r="U87" s="6"/>
      <c r="V87" s="6"/>
      <c r="W87" s="6"/>
      <c r="X87" s="148"/>
      <c r="Y87" s="5"/>
      <c r="Z87" s="5"/>
      <c r="AA87" s="5"/>
      <c r="AB87" s="5"/>
      <c r="AC87" s="5"/>
      <c r="AD87" s="5"/>
      <c r="AE87" s="5"/>
      <c r="AF87" s="5"/>
      <c r="AG87" s="5"/>
      <c r="AH87" s="5"/>
      <c r="AI87" s="148"/>
      <c r="AJ87" s="6"/>
      <c r="AK87" s="6"/>
      <c r="AL87" s="6"/>
      <c r="AM87" s="6"/>
      <c r="AN87" s="6"/>
      <c r="AO87" s="6"/>
      <c r="AP87" s="6"/>
      <c r="AQ87" s="6"/>
      <c r="AR87" s="6"/>
      <c r="AS87" s="6"/>
      <c r="AT87" s="148"/>
      <c r="AU87" s="6"/>
      <c r="AV87" s="6"/>
      <c r="AW87" s="6"/>
      <c r="AX87" s="6"/>
      <c r="AY87" s="6"/>
      <c r="AZ87" s="6"/>
      <c r="BA87" s="6"/>
      <c r="BB87" s="6"/>
      <c r="BC87" s="6"/>
      <c r="BD87" s="6"/>
      <c r="BE87" s="148"/>
      <c r="BF87" s="6"/>
      <c r="BG87" s="6"/>
      <c r="BH87" s="6"/>
      <c r="BI87" s="6"/>
      <c r="BJ87" s="6"/>
      <c r="BK87" s="6"/>
      <c r="BL87" s="6"/>
      <c r="BM87" s="6"/>
      <c r="BN87" s="6"/>
      <c r="BO87" s="6"/>
      <c r="BP87" s="148"/>
      <c r="BQ87" s="6"/>
      <c r="BR87" s="6"/>
      <c r="BS87" s="6"/>
      <c r="BT87" s="6"/>
      <c r="BU87" s="6"/>
      <c r="BV87" s="6"/>
      <c r="BW87" s="6"/>
      <c r="BX87" s="6"/>
      <c r="BY87" s="6"/>
      <c r="BZ87" s="6"/>
      <c r="CA87" s="148"/>
    </row>
    <row r="88" spans="1:79" ht="22.5" customHeight="1">
      <c r="A88" s="148"/>
      <c r="B88" s="6"/>
      <c r="C88" s="6"/>
      <c r="D88" s="230">
        <v>3</v>
      </c>
      <c r="E88" s="510" t="s">
        <v>94</v>
      </c>
      <c r="F88" s="487"/>
      <c r="G88" s="576"/>
      <c r="H88" s="437"/>
      <c r="I88" s="575"/>
      <c r="J88" s="6"/>
      <c r="K88" s="6"/>
      <c r="L88" s="148"/>
      <c r="M88" s="148"/>
      <c r="N88" s="6"/>
      <c r="O88" s="6"/>
      <c r="P88" s="6"/>
      <c r="Q88" s="6"/>
      <c r="R88" s="6"/>
      <c r="S88" s="6"/>
      <c r="T88" s="6"/>
      <c r="U88" s="6"/>
      <c r="V88" s="6"/>
      <c r="W88" s="6"/>
      <c r="X88" s="148"/>
      <c r="Y88" s="5"/>
      <c r="Z88" s="5"/>
      <c r="AA88" s="5"/>
      <c r="AB88" s="5"/>
      <c r="AC88" s="5"/>
      <c r="AD88" s="5"/>
      <c r="AE88" s="5"/>
      <c r="AF88" s="5"/>
      <c r="AG88" s="5"/>
      <c r="AH88" s="5"/>
      <c r="AI88" s="148"/>
      <c r="AJ88" s="6"/>
      <c r="AK88" s="6"/>
      <c r="AL88" s="6"/>
      <c r="AM88" s="6"/>
      <c r="AN88" s="6"/>
      <c r="AO88" s="6"/>
      <c r="AP88" s="6"/>
      <c r="AQ88" s="6"/>
      <c r="AR88" s="6"/>
      <c r="AS88" s="6"/>
      <c r="AT88" s="148"/>
      <c r="AU88" s="6"/>
      <c r="AV88" s="6"/>
      <c r="AW88" s="6"/>
      <c r="AX88" s="6"/>
      <c r="AY88" s="6"/>
      <c r="AZ88" s="6"/>
      <c r="BA88" s="6"/>
      <c r="BB88" s="6"/>
      <c r="BC88" s="6"/>
      <c r="BD88" s="6"/>
      <c r="BE88" s="148"/>
      <c r="BF88" s="6"/>
      <c r="BG88" s="6"/>
      <c r="BH88" s="6"/>
      <c r="BI88" s="6"/>
      <c r="BJ88" s="6"/>
      <c r="BK88" s="6"/>
      <c r="BL88" s="6"/>
      <c r="BM88" s="6"/>
      <c r="BN88" s="6"/>
      <c r="BO88" s="6"/>
      <c r="BP88" s="148"/>
      <c r="BQ88" s="6"/>
      <c r="BR88" s="6"/>
      <c r="BS88" s="6"/>
      <c r="BT88" s="6"/>
      <c r="BU88" s="6"/>
      <c r="BV88" s="6"/>
      <c r="BW88" s="6"/>
      <c r="BX88" s="6"/>
      <c r="BY88" s="6"/>
      <c r="BZ88" s="6"/>
      <c r="CA88" s="148"/>
    </row>
    <row r="89" spans="1:79" ht="22.5" customHeight="1">
      <c r="A89" s="148"/>
      <c r="B89" s="6"/>
      <c r="C89" s="6"/>
      <c r="D89" s="289">
        <v>4</v>
      </c>
      <c r="E89" s="570" t="s">
        <v>95</v>
      </c>
      <c r="F89" s="507"/>
      <c r="G89" s="577"/>
      <c r="H89" s="578"/>
      <c r="I89" s="579"/>
      <c r="J89" s="6"/>
      <c r="K89" s="6"/>
      <c r="L89" s="148"/>
      <c r="M89" s="148"/>
      <c r="N89" s="6"/>
      <c r="O89" s="6"/>
      <c r="P89" s="6"/>
      <c r="Q89" s="6"/>
      <c r="R89" s="6"/>
      <c r="S89" s="6"/>
      <c r="T89" s="6"/>
      <c r="U89" s="6"/>
      <c r="V89" s="6"/>
      <c r="W89" s="6"/>
      <c r="X89" s="148"/>
      <c r="Y89" s="5"/>
      <c r="Z89" s="5"/>
      <c r="AA89" s="5"/>
      <c r="AB89" s="5"/>
      <c r="AC89" s="5"/>
      <c r="AD89" s="5"/>
      <c r="AE89" s="5"/>
      <c r="AF89" s="5"/>
      <c r="AG89" s="5"/>
      <c r="AH89" s="5"/>
      <c r="AI89" s="148"/>
      <c r="AJ89" s="6"/>
      <c r="AK89" s="6"/>
      <c r="AL89" s="6"/>
      <c r="AM89" s="6"/>
      <c r="AN89" s="6"/>
      <c r="AO89" s="6"/>
      <c r="AP89" s="6"/>
      <c r="AQ89" s="6"/>
      <c r="AR89" s="6"/>
      <c r="AS89" s="6"/>
      <c r="AT89" s="148"/>
      <c r="AU89" s="6"/>
      <c r="AV89" s="6"/>
      <c r="AW89" s="6"/>
      <c r="AX89" s="6"/>
      <c r="AY89" s="6"/>
      <c r="AZ89" s="6"/>
      <c r="BA89" s="6"/>
      <c r="BB89" s="6"/>
      <c r="BC89" s="6"/>
      <c r="BD89" s="6"/>
      <c r="BE89" s="148"/>
      <c r="BF89" s="6"/>
      <c r="BG89" s="6"/>
      <c r="BH89" s="6"/>
      <c r="BI89" s="6"/>
      <c r="BJ89" s="6"/>
      <c r="BK89" s="6"/>
      <c r="BL89" s="6"/>
      <c r="BM89" s="6"/>
      <c r="BN89" s="6"/>
      <c r="BO89" s="6"/>
      <c r="BP89" s="148"/>
      <c r="BQ89" s="6"/>
      <c r="BR89" s="6"/>
      <c r="BS89" s="6"/>
      <c r="BT89" s="6"/>
      <c r="BU89" s="6"/>
      <c r="BV89" s="6"/>
      <c r="BW89" s="6"/>
      <c r="BX89" s="6"/>
      <c r="BY89" s="6"/>
      <c r="BZ89" s="6"/>
      <c r="CA89" s="148"/>
    </row>
    <row r="90" spans="1:79" ht="12.5">
      <c r="A90" s="148"/>
      <c r="B90" s="6"/>
      <c r="C90" s="6"/>
      <c r="D90" s="6"/>
      <c r="E90" s="6"/>
      <c r="F90" s="6"/>
      <c r="G90" s="6"/>
      <c r="H90" s="6"/>
      <c r="I90" s="6"/>
      <c r="J90" s="6"/>
      <c r="K90" s="6"/>
      <c r="L90" s="148"/>
      <c r="M90" s="148"/>
      <c r="N90" s="6"/>
      <c r="O90" s="6"/>
      <c r="P90" s="6"/>
      <c r="Q90" s="6"/>
      <c r="R90" s="6"/>
      <c r="S90" s="6"/>
      <c r="T90" s="6"/>
      <c r="U90" s="6"/>
      <c r="V90" s="6"/>
      <c r="W90" s="6"/>
      <c r="X90" s="148"/>
      <c r="Y90" s="5"/>
      <c r="Z90" s="5"/>
      <c r="AA90" s="5"/>
      <c r="AB90" s="5"/>
      <c r="AC90" s="5"/>
      <c r="AD90" s="5"/>
      <c r="AE90" s="5"/>
      <c r="AF90" s="5"/>
      <c r="AG90" s="5"/>
      <c r="AH90" s="5"/>
      <c r="AI90" s="148"/>
      <c r="AJ90" s="6"/>
      <c r="AK90" s="6"/>
      <c r="AL90" s="6"/>
      <c r="AM90" s="6"/>
      <c r="AN90" s="6"/>
      <c r="AO90" s="6"/>
      <c r="AP90" s="6"/>
      <c r="AQ90" s="6"/>
      <c r="AR90" s="6"/>
      <c r="AS90" s="6"/>
      <c r="AT90" s="148"/>
      <c r="AU90" s="6"/>
      <c r="AV90" s="6"/>
      <c r="AW90" s="6"/>
      <c r="AX90" s="6"/>
      <c r="AY90" s="6"/>
      <c r="AZ90" s="6"/>
      <c r="BA90" s="6"/>
      <c r="BB90" s="6"/>
      <c r="BC90" s="6"/>
      <c r="BD90" s="6"/>
      <c r="BE90" s="148"/>
      <c r="BF90" s="6"/>
      <c r="BG90" s="6"/>
      <c r="BH90" s="6"/>
      <c r="BI90" s="6"/>
      <c r="BJ90" s="6"/>
      <c r="BK90" s="6"/>
      <c r="BL90" s="6"/>
      <c r="BM90" s="6"/>
      <c r="BN90" s="6"/>
      <c r="BO90" s="6"/>
      <c r="BP90" s="148"/>
      <c r="BQ90" s="6"/>
      <c r="BR90" s="6"/>
      <c r="BS90" s="6"/>
      <c r="BT90" s="6"/>
      <c r="BU90" s="6"/>
      <c r="BV90" s="6"/>
      <c r="BW90" s="6"/>
      <c r="BX90" s="6"/>
      <c r="BY90" s="6"/>
      <c r="BZ90" s="6"/>
      <c r="CA90" s="148"/>
    </row>
    <row r="91" spans="1:79" ht="22.5" customHeight="1">
      <c r="A91" s="148"/>
      <c r="B91" s="6"/>
      <c r="C91" s="18"/>
      <c r="D91" s="580" t="s">
        <v>290</v>
      </c>
      <c r="E91" s="437"/>
      <c r="F91" s="6"/>
      <c r="G91" s="6"/>
      <c r="H91" s="6"/>
      <c r="I91" s="6"/>
      <c r="J91" s="6"/>
      <c r="K91" s="6"/>
      <c r="L91" s="148"/>
      <c r="M91" s="148"/>
      <c r="N91" s="6"/>
      <c r="O91" s="6"/>
      <c r="P91" s="6"/>
      <c r="Q91" s="6"/>
      <c r="R91" s="6"/>
      <c r="S91" s="6"/>
      <c r="T91" s="6"/>
      <c r="U91" s="6"/>
      <c r="V91" s="6"/>
      <c r="W91" s="6"/>
      <c r="X91" s="148"/>
      <c r="Y91" s="5"/>
      <c r="Z91" s="5"/>
      <c r="AA91" s="5"/>
      <c r="AB91" s="5"/>
      <c r="AC91" s="5"/>
      <c r="AD91" s="5"/>
      <c r="AE91" s="5"/>
      <c r="AF91" s="5"/>
      <c r="AG91" s="5"/>
      <c r="AH91" s="5"/>
      <c r="AI91" s="148"/>
      <c r="AJ91" s="6"/>
      <c r="AK91" s="6"/>
      <c r="AL91" s="6"/>
      <c r="AM91" s="6"/>
      <c r="AN91" s="6"/>
      <c r="AO91" s="6"/>
      <c r="AP91" s="6"/>
      <c r="AQ91" s="6"/>
      <c r="AR91" s="6"/>
      <c r="AS91" s="6"/>
      <c r="AT91" s="148"/>
      <c r="AU91" s="6"/>
      <c r="AV91" s="6"/>
      <c r="AW91" s="6"/>
      <c r="AX91" s="6"/>
      <c r="AY91" s="6"/>
      <c r="AZ91" s="6"/>
      <c r="BA91" s="6"/>
      <c r="BB91" s="6"/>
      <c r="BC91" s="6"/>
      <c r="BD91" s="6"/>
      <c r="BE91" s="148"/>
      <c r="BF91" s="6"/>
      <c r="BG91" s="6"/>
      <c r="BH91" s="6"/>
      <c r="BI91" s="6"/>
      <c r="BJ91" s="6"/>
      <c r="BK91" s="6"/>
      <c r="BL91" s="6"/>
      <c r="BM91" s="6"/>
      <c r="BN91" s="6"/>
      <c r="BO91" s="6"/>
      <c r="BP91" s="148"/>
      <c r="BQ91" s="6"/>
      <c r="BR91" s="6"/>
      <c r="BS91" s="6"/>
      <c r="BT91" s="6"/>
      <c r="BU91" s="6"/>
      <c r="BV91" s="6"/>
      <c r="BW91" s="6"/>
      <c r="BX91" s="6"/>
      <c r="BY91" s="6"/>
      <c r="BZ91" s="6"/>
      <c r="CA91" s="148"/>
    </row>
    <row r="92" spans="1:79" ht="12.5">
      <c r="A92" s="148"/>
      <c r="B92" s="6"/>
      <c r="C92" s="6"/>
      <c r="D92" s="6"/>
      <c r="E92" s="6"/>
      <c r="F92" s="6"/>
      <c r="G92" s="6"/>
      <c r="H92" s="6"/>
      <c r="I92" s="6"/>
      <c r="J92" s="6"/>
      <c r="K92" s="6"/>
      <c r="L92" s="148"/>
      <c r="M92" s="148"/>
      <c r="N92" s="6"/>
      <c r="O92" s="6"/>
      <c r="P92" s="6"/>
      <c r="Q92" s="6"/>
      <c r="R92" s="6"/>
      <c r="S92" s="6"/>
      <c r="T92" s="6"/>
      <c r="U92" s="6"/>
      <c r="V92" s="6"/>
      <c r="W92" s="6"/>
      <c r="X92" s="148"/>
      <c r="Y92" s="5"/>
      <c r="Z92" s="5"/>
      <c r="AA92" s="5"/>
      <c r="AB92" s="5"/>
      <c r="AC92" s="5"/>
      <c r="AD92" s="5"/>
      <c r="AE92" s="5"/>
      <c r="AF92" s="5"/>
      <c r="AG92" s="5"/>
      <c r="AH92" s="5"/>
      <c r="AI92" s="148"/>
      <c r="AJ92" s="6"/>
      <c r="AK92" s="6"/>
      <c r="AL92" s="6"/>
      <c r="AM92" s="6"/>
      <c r="AN92" s="6"/>
      <c r="AO92" s="6"/>
      <c r="AP92" s="6"/>
      <c r="AQ92" s="6"/>
      <c r="AR92" s="6"/>
      <c r="AS92" s="6"/>
      <c r="AT92" s="148"/>
      <c r="AU92" s="6"/>
      <c r="AV92" s="6"/>
      <c r="AW92" s="6"/>
      <c r="AX92" s="6"/>
      <c r="AY92" s="6"/>
      <c r="AZ92" s="6"/>
      <c r="BA92" s="6"/>
      <c r="BB92" s="6"/>
      <c r="BC92" s="6"/>
      <c r="BD92" s="6"/>
      <c r="BE92" s="148"/>
      <c r="BF92" s="6"/>
      <c r="BG92" s="6"/>
      <c r="BH92" s="6"/>
      <c r="BI92" s="6"/>
      <c r="BJ92" s="6"/>
      <c r="BK92" s="6"/>
      <c r="BL92" s="6"/>
      <c r="BM92" s="6"/>
      <c r="BN92" s="6"/>
      <c r="BO92" s="6"/>
      <c r="BP92" s="148"/>
      <c r="BQ92" s="6"/>
      <c r="BR92" s="6"/>
      <c r="BS92" s="6"/>
      <c r="BT92" s="6"/>
      <c r="BU92" s="6"/>
      <c r="BV92" s="6"/>
      <c r="BW92" s="6"/>
      <c r="BX92" s="6"/>
      <c r="BY92" s="6"/>
      <c r="BZ92" s="6"/>
      <c r="CA92" s="148"/>
    </row>
    <row r="93" spans="1:79" ht="22.5" customHeight="1">
      <c r="A93" s="148"/>
      <c r="B93" s="6"/>
      <c r="C93" s="6"/>
      <c r="D93" s="359">
        <v>1</v>
      </c>
      <c r="E93" s="572" t="s">
        <v>97</v>
      </c>
      <c r="F93" s="573"/>
      <c r="G93" s="581" t="s">
        <v>98</v>
      </c>
      <c r="H93" s="582"/>
      <c r="I93" s="583"/>
      <c r="J93" s="6"/>
      <c r="K93" s="6"/>
      <c r="L93" s="148"/>
      <c r="M93" s="148"/>
      <c r="N93" s="6"/>
      <c r="O93" s="6"/>
      <c r="P93" s="6"/>
      <c r="Q93" s="6"/>
      <c r="R93" s="6"/>
      <c r="S93" s="6"/>
      <c r="T93" s="6"/>
      <c r="U93" s="6"/>
      <c r="V93" s="6"/>
      <c r="W93" s="6"/>
      <c r="X93" s="148"/>
      <c r="Y93" s="5"/>
      <c r="Z93" s="5"/>
      <c r="AA93" s="5"/>
      <c r="AB93" s="5"/>
      <c r="AC93" s="5"/>
      <c r="AD93" s="5"/>
      <c r="AE93" s="5"/>
      <c r="AF93" s="5"/>
      <c r="AG93" s="5"/>
      <c r="AH93" s="5"/>
      <c r="AI93" s="148"/>
      <c r="AJ93" s="6"/>
      <c r="AK93" s="6"/>
      <c r="AL93" s="6"/>
      <c r="AM93" s="6"/>
      <c r="AN93" s="6"/>
      <c r="AO93" s="6"/>
      <c r="AP93" s="6"/>
      <c r="AQ93" s="6"/>
      <c r="AR93" s="6"/>
      <c r="AS93" s="6"/>
      <c r="AT93" s="148"/>
      <c r="AU93" s="6"/>
      <c r="AV93" s="6"/>
      <c r="AW93" s="6"/>
      <c r="AX93" s="6"/>
      <c r="AY93" s="6"/>
      <c r="AZ93" s="6"/>
      <c r="BA93" s="6"/>
      <c r="BB93" s="6"/>
      <c r="BC93" s="6"/>
      <c r="BD93" s="6"/>
      <c r="BE93" s="148"/>
      <c r="BF93" s="6"/>
      <c r="BG93" s="6"/>
      <c r="BH93" s="6"/>
      <c r="BI93" s="6"/>
      <c r="BJ93" s="6"/>
      <c r="BK93" s="6"/>
      <c r="BL93" s="6"/>
      <c r="BM93" s="6"/>
      <c r="BN93" s="6"/>
      <c r="BO93" s="6"/>
      <c r="BP93" s="148"/>
      <c r="BQ93" s="6"/>
      <c r="BR93" s="6"/>
      <c r="BS93" s="6"/>
      <c r="BT93" s="6"/>
      <c r="BU93" s="6"/>
      <c r="BV93" s="6"/>
      <c r="BW93" s="6"/>
      <c r="BX93" s="6"/>
      <c r="BY93" s="6"/>
      <c r="BZ93" s="6"/>
      <c r="CA93" s="148"/>
    </row>
    <row r="94" spans="1:79" ht="22.5" customHeight="1">
      <c r="A94" s="148"/>
      <c r="B94" s="6"/>
      <c r="C94" s="6"/>
      <c r="D94" s="289">
        <v>2</v>
      </c>
      <c r="E94" s="570" t="s">
        <v>99</v>
      </c>
      <c r="F94" s="507"/>
      <c r="G94" s="584" t="s">
        <v>289</v>
      </c>
      <c r="H94" s="578"/>
      <c r="I94" s="579"/>
      <c r="J94" s="6"/>
      <c r="K94" s="6"/>
      <c r="L94" s="148"/>
      <c r="M94" s="148"/>
      <c r="N94" s="6"/>
      <c r="O94" s="6"/>
      <c r="P94" s="6"/>
      <c r="Q94" s="6"/>
      <c r="R94" s="6"/>
      <c r="S94" s="6"/>
      <c r="T94" s="6"/>
      <c r="U94" s="6"/>
      <c r="V94" s="6"/>
      <c r="W94" s="6"/>
      <c r="X94" s="148"/>
      <c r="Y94" s="5"/>
      <c r="Z94" s="5"/>
      <c r="AA94" s="5"/>
      <c r="AB94" s="5"/>
      <c r="AC94" s="5"/>
      <c r="AD94" s="5"/>
      <c r="AE94" s="5"/>
      <c r="AF94" s="5"/>
      <c r="AG94" s="5"/>
      <c r="AH94" s="5"/>
      <c r="AI94" s="148"/>
      <c r="AJ94" s="6"/>
      <c r="AK94" s="6"/>
      <c r="AL94" s="6"/>
      <c r="AM94" s="6"/>
      <c r="AN94" s="6"/>
      <c r="AO94" s="6"/>
      <c r="AP94" s="6"/>
      <c r="AQ94" s="6"/>
      <c r="AR94" s="6"/>
      <c r="AS94" s="6"/>
      <c r="AT94" s="148"/>
      <c r="AU94" s="6"/>
      <c r="AV94" s="6"/>
      <c r="AW94" s="6"/>
      <c r="AX94" s="6"/>
      <c r="AY94" s="6"/>
      <c r="AZ94" s="6"/>
      <c r="BA94" s="6"/>
      <c r="BB94" s="6"/>
      <c r="BC94" s="6"/>
      <c r="BD94" s="6"/>
      <c r="BE94" s="148"/>
      <c r="BF94" s="6"/>
      <c r="BG94" s="6"/>
      <c r="BH94" s="6"/>
      <c r="BI94" s="6"/>
      <c r="BJ94" s="6"/>
      <c r="BK94" s="6"/>
      <c r="BL94" s="6"/>
      <c r="BM94" s="6"/>
      <c r="BN94" s="6"/>
      <c r="BO94" s="6"/>
      <c r="BP94" s="148"/>
      <c r="BQ94" s="6"/>
      <c r="BR94" s="6"/>
      <c r="BS94" s="6"/>
      <c r="BT94" s="6"/>
      <c r="BU94" s="6"/>
      <c r="BV94" s="6"/>
      <c r="BW94" s="6"/>
      <c r="BX94" s="6"/>
      <c r="BY94" s="6"/>
      <c r="BZ94" s="6"/>
      <c r="CA94" s="148"/>
    </row>
    <row r="95" spans="1:79" ht="22.5" customHeight="1">
      <c r="A95" s="148"/>
      <c r="B95" s="6"/>
      <c r="C95" s="6"/>
      <c r="D95" s="222"/>
      <c r="E95" s="6"/>
      <c r="F95" s="6"/>
      <c r="G95" s="6"/>
      <c r="H95" s="6"/>
      <c r="I95" s="6"/>
      <c r="J95" s="6"/>
      <c r="K95" s="6"/>
      <c r="L95" s="148"/>
      <c r="M95" s="148"/>
      <c r="N95" s="6"/>
      <c r="O95" s="6"/>
      <c r="P95" s="6"/>
      <c r="Q95" s="6"/>
      <c r="R95" s="6"/>
      <c r="S95" s="6"/>
      <c r="T95" s="6"/>
      <c r="U95" s="6"/>
      <c r="V95" s="6"/>
      <c r="W95" s="6"/>
      <c r="X95" s="148"/>
      <c r="Y95" s="5"/>
      <c r="Z95" s="5"/>
      <c r="AA95" s="5"/>
      <c r="AB95" s="5"/>
      <c r="AC95" s="5"/>
      <c r="AD95" s="5"/>
      <c r="AE95" s="5"/>
      <c r="AF95" s="5"/>
      <c r="AG95" s="5"/>
      <c r="AH95" s="5"/>
      <c r="AI95" s="148"/>
      <c r="AJ95" s="6"/>
      <c r="AK95" s="6"/>
      <c r="AL95" s="6"/>
      <c r="AM95" s="6"/>
      <c r="AN95" s="6"/>
      <c r="AO95" s="6"/>
      <c r="AP95" s="6"/>
      <c r="AQ95" s="6"/>
      <c r="AR95" s="6"/>
      <c r="AS95" s="6"/>
      <c r="AT95" s="148"/>
      <c r="AU95" s="6"/>
      <c r="AV95" s="6"/>
      <c r="AW95" s="6"/>
      <c r="AX95" s="6"/>
      <c r="AY95" s="6"/>
      <c r="AZ95" s="6"/>
      <c r="BA95" s="6"/>
      <c r="BB95" s="6"/>
      <c r="BC95" s="6"/>
      <c r="BD95" s="6"/>
      <c r="BE95" s="148"/>
      <c r="BF95" s="6"/>
      <c r="BG95" s="6"/>
      <c r="BH95" s="6"/>
      <c r="BI95" s="6"/>
      <c r="BJ95" s="6"/>
      <c r="BK95" s="6"/>
      <c r="BL95" s="6"/>
      <c r="BM95" s="6"/>
      <c r="BN95" s="6"/>
      <c r="BO95" s="6"/>
      <c r="BP95" s="148"/>
      <c r="BQ95" s="6"/>
      <c r="BR95" s="6"/>
      <c r="BS95" s="6"/>
      <c r="BT95" s="6"/>
      <c r="BU95" s="6"/>
      <c r="BV95" s="6"/>
      <c r="BW95" s="6"/>
      <c r="BX95" s="6"/>
      <c r="BY95" s="6"/>
      <c r="BZ95" s="6"/>
      <c r="CA95" s="148"/>
    </row>
    <row r="96" spans="1:79" ht="22.5" customHeight="1">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48"/>
      <c r="AZ96" s="148"/>
      <c r="BA96" s="148"/>
      <c r="BB96" s="148"/>
      <c r="BC96" s="148"/>
      <c r="BD96" s="148"/>
      <c r="BE96" s="148"/>
      <c r="BF96" s="148"/>
      <c r="BG96" s="148"/>
      <c r="BH96" s="148"/>
      <c r="BI96" s="148"/>
      <c r="BJ96" s="148"/>
      <c r="BK96" s="148"/>
      <c r="BL96" s="148"/>
      <c r="BM96" s="148"/>
      <c r="BN96" s="148"/>
      <c r="BO96" s="148"/>
      <c r="BP96" s="148"/>
      <c r="BQ96" s="148"/>
      <c r="BR96" s="148"/>
      <c r="BS96" s="148"/>
      <c r="BT96" s="148"/>
      <c r="BU96" s="148"/>
      <c r="BV96" s="148"/>
      <c r="BW96" s="148"/>
      <c r="BX96" s="148"/>
      <c r="BY96" s="148"/>
      <c r="BZ96" s="148"/>
      <c r="CA96" s="148"/>
    </row>
  </sheetData>
  <mergeCells count="321">
    <mergeCell ref="AB35:AC35"/>
    <mergeCell ref="AA37:AC37"/>
    <mergeCell ref="AB24:AC24"/>
    <mergeCell ref="AA26:AC26"/>
    <mergeCell ref="AB27:AC27"/>
    <mergeCell ref="AB28:AC28"/>
    <mergeCell ref="AB29:AC29"/>
    <mergeCell ref="AB30:AC30"/>
    <mergeCell ref="AA32:AC32"/>
    <mergeCell ref="AB33:AC33"/>
    <mergeCell ref="AB34:AC34"/>
    <mergeCell ref="AW28:AY28"/>
    <mergeCell ref="AX29:AY29"/>
    <mergeCell ref="AX30:AY30"/>
    <mergeCell ref="AX31:AY31"/>
    <mergeCell ref="AX32:AY32"/>
    <mergeCell ref="AX23:AY23"/>
    <mergeCell ref="AX24:AY24"/>
    <mergeCell ref="AX22:AY22"/>
    <mergeCell ref="AX25:AY25"/>
    <mergeCell ref="AM20:AN20"/>
    <mergeCell ref="AX20:AY20"/>
    <mergeCell ref="AL22:AN22"/>
    <mergeCell ref="AM23:AN23"/>
    <mergeCell ref="AM24:AN24"/>
    <mergeCell ref="AM25:AN25"/>
    <mergeCell ref="AM35:AN35"/>
    <mergeCell ref="AM36:AN36"/>
    <mergeCell ref="AM37:AN37"/>
    <mergeCell ref="AM27:AN27"/>
    <mergeCell ref="AM28:AN28"/>
    <mergeCell ref="AM29:AN29"/>
    <mergeCell ref="AM30:AN30"/>
    <mergeCell ref="AM31:AN31"/>
    <mergeCell ref="AM32:AN32"/>
    <mergeCell ref="AL34:AN34"/>
    <mergeCell ref="AM26:AN26"/>
    <mergeCell ref="AX33:AY33"/>
    <mergeCell ref="AX34:AY34"/>
    <mergeCell ref="AX35:AY35"/>
    <mergeCell ref="AX36:AY36"/>
    <mergeCell ref="AX37:AY37"/>
    <mergeCell ref="AX21:AY21"/>
    <mergeCell ref="AX26:AY26"/>
    <mergeCell ref="BI35:BJ35"/>
    <mergeCell ref="BI36:BJ36"/>
    <mergeCell ref="BI37:BJ37"/>
    <mergeCell ref="BI38:BJ38"/>
    <mergeCell ref="BK38:BM38"/>
    <mergeCell ref="BH25:BJ25"/>
    <mergeCell ref="BI26:BJ26"/>
    <mergeCell ref="BI27:BJ27"/>
    <mergeCell ref="BI28:BJ28"/>
    <mergeCell ref="BI29:BJ29"/>
    <mergeCell ref="BI30:BJ30"/>
    <mergeCell ref="BI31:BJ31"/>
    <mergeCell ref="BT25:BU25"/>
    <mergeCell ref="BS27:BU27"/>
    <mergeCell ref="BT32:BU32"/>
    <mergeCell ref="BT33:BU33"/>
    <mergeCell ref="BS35:BU35"/>
    <mergeCell ref="BT36:BU36"/>
    <mergeCell ref="BT37:BU37"/>
    <mergeCell ref="BT38:BU38"/>
    <mergeCell ref="BT17:BU17"/>
    <mergeCell ref="BT18:BU18"/>
    <mergeCell ref="BT19:BU19"/>
    <mergeCell ref="BT20:BU20"/>
    <mergeCell ref="BS22:BU22"/>
    <mergeCell ref="BT23:BU23"/>
    <mergeCell ref="BT24:BU24"/>
    <mergeCell ref="BS7:BT7"/>
    <mergeCell ref="D9:F9"/>
    <mergeCell ref="P9:R9"/>
    <mergeCell ref="AA9:AC9"/>
    <mergeCell ref="AL9:AN9"/>
    <mergeCell ref="AW9:AY9"/>
    <mergeCell ref="BH9:BJ9"/>
    <mergeCell ref="BS9:BU9"/>
    <mergeCell ref="C3:C4"/>
    <mergeCell ref="E3:F4"/>
    <mergeCell ref="H3:H4"/>
    <mergeCell ref="I3:J4"/>
    <mergeCell ref="O3:O4"/>
    <mergeCell ref="T3:T4"/>
    <mergeCell ref="D7:E7"/>
    <mergeCell ref="BL3:BL4"/>
    <mergeCell ref="BM3:BN4"/>
    <mergeCell ref="BR3:BR4"/>
    <mergeCell ref="BT3:BU4"/>
    <mergeCell ref="BW3:BW4"/>
    <mergeCell ref="BX3:BY4"/>
    <mergeCell ref="AP3:AP4"/>
    <mergeCell ref="AQ3:AR4"/>
    <mergeCell ref="AV3:AV4"/>
    <mergeCell ref="AX3:AY4"/>
    <mergeCell ref="BA3:BA4"/>
    <mergeCell ref="BB3:BC4"/>
    <mergeCell ref="BG3:BG4"/>
    <mergeCell ref="D78:F78"/>
    <mergeCell ref="U3:V4"/>
    <mergeCell ref="Z3:Z4"/>
    <mergeCell ref="AB3:AC4"/>
    <mergeCell ref="AE3:AE4"/>
    <mergeCell ref="AF3:AG4"/>
    <mergeCell ref="AK3:AK4"/>
    <mergeCell ref="AM3:AN4"/>
    <mergeCell ref="BI3:BJ4"/>
    <mergeCell ref="Q3:R4"/>
    <mergeCell ref="P7:Q7"/>
    <mergeCell ref="AA7:AB7"/>
    <mergeCell ref="AL7:AM7"/>
    <mergeCell ref="AW7:AX7"/>
    <mergeCell ref="BH7:BI7"/>
    <mergeCell ref="BI16:BJ16"/>
    <mergeCell ref="BI17:BJ17"/>
    <mergeCell ref="BI18:BJ18"/>
    <mergeCell ref="BH20:BJ20"/>
    <mergeCell ref="BI21:BJ21"/>
    <mergeCell ref="BI22:BJ22"/>
    <mergeCell ref="BI23:BJ23"/>
    <mergeCell ref="BH33:BJ33"/>
    <mergeCell ref="BI34:BJ34"/>
    <mergeCell ref="E67:F67"/>
    <mergeCell ref="E68:F68"/>
    <mergeCell ref="D70:F70"/>
    <mergeCell ref="E71:F71"/>
    <mergeCell ref="E72:F72"/>
    <mergeCell ref="E73:F73"/>
    <mergeCell ref="E74:F74"/>
    <mergeCell ref="E75:F75"/>
    <mergeCell ref="E76:F76"/>
    <mergeCell ref="E57:F57"/>
    <mergeCell ref="D59:F59"/>
    <mergeCell ref="E60:F60"/>
    <mergeCell ref="E61:F61"/>
    <mergeCell ref="E62:F62"/>
    <mergeCell ref="E63:F63"/>
    <mergeCell ref="E64:F64"/>
    <mergeCell ref="E65:F65"/>
    <mergeCell ref="E66:F66"/>
    <mergeCell ref="E51:F51"/>
    <mergeCell ref="Q51:R51"/>
    <mergeCell ref="E52:F52"/>
    <mergeCell ref="Q52:R52"/>
    <mergeCell ref="S52:U52"/>
    <mergeCell ref="E53:F53"/>
    <mergeCell ref="E54:F54"/>
    <mergeCell ref="E55:F55"/>
    <mergeCell ref="E56:F56"/>
    <mergeCell ref="E79:F79"/>
    <mergeCell ref="E80:F80"/>
    <mergeCell ref="E81:F81"/>
    <mergeCell ref="E82:F82"/>
    <mergeCell ref="E83:F83"/>
    <mergeCell ref="G83:I83"/>
    <mergeCell ref="D85:F85"/>
    <mergeCell ref="E93:F93"/>
    <mergeCell ref="E94:F94"/>
    <mergeCell ref="E86:F86"/>
    <mergeCell ref="G86:I89"/>
    <mergeCell ref="E87:F87"/>
    <mergeCell ref="E88:F88"/>
    <mergeCell ref="E89:F89"/>
    <mergeCell ref="D91:E91"/>
    <mergeCell ref="G93:I93"/>
    <mergeCell ref="G94:I94"/>
    <mergeCell ref="E20:F20"/>
    <mergeCell ref="E21:F21"/>
    <mergeCell ref="E22:F22"/>
    <mergeCell ref="E23:F23"/>
    <mergeCell ref="E24:F24"/>
    <mergeCell ref="E25:F25"/>
    <mergeCell ref="D27:F27"/>
    <mergeCell ref="AB47:AC47"/>
    <mergeCell ref="AB48:AC48"/>
    <mergeCell ref="Q48:R48"/>
    <mergeCell ref="E35:F35"/>
    <mergeCell ref="E36:F36"/>
    <mergeCell ref="E37:F37"/>
    <mergeCell ref="E38:F38"/>
    <mergeCell ref="E28:F28"/>
    <mergeCell ref="E29:F29"/>
    <mergeCell ref="E30:F30"/>
    <mergeCell ref="E31:F31"/>
    <mergeCell ref="E32:F32"/>
    <mergeCell ref="E33:F33"/>
    <mergeCell ref="E34:F34"/>
    <mergeCell ref="AB21:AC21"/>
    <mergeCell ref="AB22:AC22"/>
    <mergeCell ref="AB23:AC23"/>
    <mergeCell ref="Q37:R37"/>
    <mergeCell ref="P39:R39"/>
    <mergeCell ref="Q40:R40"/>
    <mergeCell ref="Q41:R41"/>
    <mergeCell ref="Q42:R42"/>
    <mergeCell ref="Q44:R44"/>
    <mergeCell ref="Q49:R49"/>
    <mergeCell ref="Q27:R27"/>
    <mergeCell ref="Q28:R28"/>
    <mergeCell ref="P30:R30"/>
    <mergeCell ref="Q31:R31"/>
    <mergeCell ref="Q32:R32"/>
    <mergeCell ref="Q33:R33"/>
    <mergeCell ref="P35:R35"/>
    <mergeCell ref="Q43:R43"/>
    <mergeCell ref="Q45:R45"/>
    <mergeCell ref="P47:R47"/>
    <mergeCell ref="D40:F40"/>
    <mergeCell ref="E41:F41"/>
    <mergeCell ref="E42:F42"/>
    <mergeCell ref="AB42:AC42"/>
    <mergeCell ref="E43:F43"/>
    <mergeCell ref="AB43:AC43"/>
    <mergeCell ref="AA45:AC45"/>
    <mergeCell ref="AX49:AY49"/>
    <mergeCell ref="AX50:AY50"/>
    <mergeCell ref="AB41:AC41"/>
    <mergeCell ref="AM48:AN48"/>
    <mergeCell ref="AM49:AN49"/>
    <mergeCell ref="AM50:AN50"/>
    <mergeCell ref="AB49:AC49"/>
    <mergeCell ref="Q50:R50"/>
    <mergeCell ref="AB50:AC50"/>
    <mergeCell ref="AD50:AF50"/>
    <mergeCell ref="D45:F45"/>
    <mergeCell ref="E46:F46"/>
    <mergeCell ref="AB46:AC46"/>
    <mergeCell ref="E47:F47"/>
    <mergeCell ref="E48:F48"/>
    <mergeCell ref="D50:F50"/>
    <mergeCell ref="AX51:AY51"/>
    <mergeCell ref="AX52:AY52"/>
    <mergeCell ref="AZ52:BB52"/>
    <mergeCell ref="AX41:AY41"/>
    <mergeCell ref="AX42:AY42"/>
    <mergeCell ref="AX43:AY43"/>
    <mergeCell ref="AX44:AY44"/>
    <mergeCell ref="AX45:AY45"/>
    <mergeCell ref="AW47:AY47"/>
    <mergeCell ref="AX48:AY48"/>
    <mergeCell ref="AM51:AN51"/>
    <mergeCell ref="AM52:AN52"/>
    <mergeCell ref="AO52:AQ52"/>
    <mergeCell ref="AM40:AN40"/>
    <mergeCell ref="AM41:AN41"/>
    <mergeCell ref="AM42:AN42"/>
    <mergeCell ref="AM43:AN43"/>
    <mergeCell ref="AM44:AN44"/>
    <mergeCell ref="AM45:AN45"/>
    <mergeCell ref="AL47:AN47"/>
    <mergeCell ref="E18:F18"/>
    <mergeCell ref="E19:F19"/>
    <mergeCell ref="BT29:BU29"/>
    <mergeCell ref="BT30:BU30"/>
    <mergeCell ref="BT28:BU28"/>
    <mergeCell ref="BT31:BU31"/>
    <mergeCell ref="BT39:BU39"/>
    <mergeCell ref="BT40:BU40"/>
    <mergeCell ref="BV40:BX40"/>
    <mergeCell ref="AB38:AC38"/>
    <mergeCell ref="AB39:AC39"/>
    <mergeCell ref="AL39:AN39"/>
    <mergeCell ref="AW39:AY39"/>
    <mergeCell ref="AB40:AC40"/>
    <mergeCell ref="AX40:AY40"/>
    <mergeCell ref="AB18:AC18"/>
    <mergeCell ref="AB20:AC20"/>
    <mergeCell ref="Q20:R20"/>
    <mergeCell ref="P22:R22"/>
    <mergeCell ref="Q23:R23"/>
    <mergeCell ref="Q24:R24"/>
    <mergeCell ref="Q25:R25"/>
    <mergeCell ref="Q26:R26"/>
    <mergeCell ref="Q36:R36"/>
    <mergeCell ref="Q18:R18"/>
    <mergeCell ref="Q19:R19"/>
    <mergeCell ref="AB19:AC19"/>
    <mergeCell ref="AM17:AN17"/>
    <mergeCell ref="AM18:AN18"/>
    <mergeCell ref="AW18:AY18"/>
    <mergeCell ref="AM19:AN19"/>
    <mergeCell ref="AX19:AY19"/>
    <mergeCell ref="BI10:BJ10"/>
    <mergeCell ref="BI11:BJ11"/>
    <mergeCell ref="BI12:BJ12"/>
    <mergeCell ref="BH15:BJ15"/>
    <mergeCell ref="Q10:R10"/>
    <mergeCell ref="Q11:R11"/>
    <mergeCell ref="Q12:R12"/>
    <mergeCell ref="AB12:AC12"/>
    <mergeCell ref="P15:R15"/>
    <mergeCell ref="AA15:AC15"/>
    <mergeCell ref="AB16:AC16"/>
    <mergeCell ref="AB17:AC17"/>
    <mergeCell ref="Q16:R16"/>
    <mergeCell ref="AW15:AY15"/>
    <mergeCell ref="AX16:AY16"/>
    <mergeCell ref="AM10:AN10"/>
    <mergeCell ref="E10:F10"/>
    <mergeCell ref="AB10:AC10"/>
    <mergeCell ref="AX10:AY10"/>
    <mergeCell ref="BT10:BU10"/>
    <mergeCell ref="E11:F11"/>
    <mergeCell ref="AB11:AC11"/>
    <mergeCell ref="AX11:AY11"/>
    <mergeCell ref="BT11:BU11"/>
    <mergeCell ref="Q17:R17"/>
    <mergeCell ref="BT12:BU12"/>
    <mergeCell ref="BS15:BU15"/>
    <mergeCell ref="BT16:BU16"/>
    <mergeCell ref="E12:F12"/>
    <mergeCell ref="D15:F15"/>
    <mergeCell ref="E16:F16"/>
    <mergeCell ref="E17:F17"/>
    <mergeCell ref="AM11:AN11"/>
    <mergeCell ref="AM12:AN12"/>
    <mergeCell ref="AX12:AY12"/>
    <mergeCell ref="AM13:AN13"/>
    <mergeCell ref="AL15:AN15"/>
    <mergeCell ref="AM16:AN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A86E8"/>
    <outlinePr summaryBelow="0" summaryRight="0"/>
  </sheetPr>
  <dimension ref="A1:L103"/>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20.17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614" t="s">
        <v>130</v>
      </c>
      <c r="D3" s="149"/>
      <c r="E3" s="438"/>
      <c r="F3" s="437"/>
      <c r="G3" s="6"/>
      <c r="H3" s="616" t="s">
        <v>131</v>
      </c>
      <c r="I3" s="588" t="s">
        <v>132</v>
      </c>
      <c r="J3" s="437"/>
      <c r="K3" s="6"/>
      <c r="L3" s="148"/>
    </row>
    <row r="4" spans="1:12" ht="37.5" customHeight="1">
      <c r="A4" s="148"/>
      <c r="B4" s="6"/>
      <c r="C4" s="615"/>
      <c r="D4" s="149"/>
      <c r="E4" s="437"/>
      <c r="F4" s="437"/>
      <c r="G4" s="6"/>
      <c r="H4" s="615"/>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580" t="s">
        <v>139</v>
      </c>
      <c r="E7" s="437"/>
      <c r="F7" s="6"/>
      <c r="G7" s="150" t="s">
        <v>46</v>
      </c>
      <c r="H7" s="150" t="s">
        <v>11</v>
      </c>
      <c r="I7" s="150" t="s">
        <v>47</v>
      </c>
      <c r="J7" s="6"/>
      <c r="K7" s="6"/>
      <c r="L7" s="148"/>
    </row>
    <row r="8" spans="1:12" ht="12.5">
      <c r="A8" s="148"/>
      <c r="B8" s="6"/>
      <c r="C8" s="6"/>
      <c r="J8" s="6"/>
      <c r="K8" s="6"/>
      <c r="L8" s="148"/>
    </row>
    <row r="9" spans="1:12" ht="37.5" customHeight="1">
      <c r="A9" s="148"/>
      <c r="B9" s="6"/>
      <c r="C9" s="6"/>
      <c r="D9" s="508" t="s">
        <v>140</v>
      </c>
      <c r="E9" s="509"/>
      <c r="F9" s="509"/>
      <c r="G9" s="157"/>
      <c r="H9" s="157"/>
      <c r="I9" s="158"/>
      <c r="J9" s="6"/>
      <c r="K9" s="6"/>
      <c r="L9" s="148"/>
    </row>
    <row r="10" spans="1:12" ht="12.5">
      <c r="A10" s="148"/>
      <c r="B10" s="6"/>
      <c r="C10" s="6"/>
      <c r="D10" s="171">
        <v>1</v>
      </c>
      <c r="E10" s="486" t="s">
        <v>141</v>
      </c>
      <c r="F10" s="487"/>
      <c r="G10" s="172">
        <v>500000</v>
      </c>
      <c r="H10" s="172">
        <v>1000000</v>
      </c>
      <c r="I10" s="173">
        <v>3000000</v>
      </c>
      <c r="J10" s="6"/>
      <c r="K10" s="6"/>
      <c r="L10" s="148"/>
    </row>
    <row r="11" spans="1:12" ht="12.5">
      <c r="A11" s="148"/>
      <c r="B11" s="6"/>
      <c r="C11" s="6"/>
      <c r="D11" s="191">
        <v>2</v>
      </c>
      <c r="E11" s="494" t="s">
        <v>65</v>
      </c>
      <c r="F11" s="495"/>
      <c r="G11" s="192">
        <v>1000</v>
      </c>
      <c r="H11" s="192">
        <v>3000</v>
      </c>
      <c r="I11" s="193">
        <v>10000</v>
      </c>
      <c r="J11" s="6"/>
      <c r="K11" s="6"/>
      <c r="L11" s="148"/>
    </row>
    <row r="12" spans="1:12" ht="12.5">
      <c r="A12" s="148"/>
      <c r="B12" s="6"/>
      <c r="C12" s="6"/>
      <c r="D12" s="204">
        <v>3</v>
      </c>
      <c r="E12" s="506" t="s">
        <v>143</v>
      </c>
      <c r="F12" s="507"/>
      <c r="G12" s="205">
        <v>2</v>
      </c>
      <c r="H12" s="205">
        <v>5</v>
      </c>
      <c r="I12" s="206">
        <v>10</v>
      </c>
      <c r="J12" s="6"/>
      <c r="K12" s="6"/>
      <c r="L12" s="148"/>
    </row>
    <row r="13" spans="1:12" ht="12.5">
      <c r="A13" s="148"/>
      <c r="B13" s="6"/>
      <c r="C13" s="6"/>
      <c r="D13" s="6"/>
      <c r="E13" s="6"/>
      <c r="F13" s="6"/>
      <c r="G13" s="6"/>
      <c r="H13" s="6"/>
      <c r="I13" s="6"/>
      <c r="J13" s="6"/>
      <c r="K13" s="6"/>
      <c r="L13" s="148"/>
    </row>
    <row r="14" spans="1:12" ht="37.5" customHeight="1">
      <c r="A14" s="148"/>
      <c r="B14" s="6"/>
      <c r="C14" s="6"/>
      <c r="D14" s="508" t="s">
        <v>145</v>
      </c>
      <c r="E14" s="509"/>
      <c r="F14" s="509"/>
      <c r="G14" s="157"/>
      <c r="H14" s="157"/>
      <c r="I14" s="158"/>
      <c r="J14" s="6"/>
      <c r="K14" s="6"/>
      <c r="L14" s="148"/>
    </row>
    <row r="15" spans="1:12" ht="22.5" customHeight="1">
      <c r="A15" s="148"/>
      <c r="B15" s="6"/>
      <c r="C15" s="6"/>
      <c r="D15" s="230">
        <v>1</v>
      </c>
      <c r="E15" s="510" t="s">
        <v>152</v>
      </c>
      <c r="F15" s="487"/>
      <c r="G15" s="231" t="b">
        <v>1</v>
      </c>
      <c r="H15" s="231" t="b">
        <v>1</v>
      </c>
      <c r="I15" s="232" t="b">
        <v>1</v>
      </c>
      <c r="J15" s="6"/>
      <c r="K15" s="6"/>
      <c r="L15" s="148"/>
    </row>
    <row r="16" spans="1:12" ht="22.5" customHeight="1">
      <c r="A16" s="148"/>
      <c r="B16" s="6"/>
      <c r="C16" s="6"/>
      <c r="D16" s="230">
        <v>2</v>
      </c>
      <c r="E16" s="511" t="s">
        <v>159</v>
      </c>
      <c r="F16" s="495"/>
      <c r="G16" s="250" t="b">
        <v>1</v>
      </c>
      <c r="H16" s="250" t="b">
        <v>1</v>
      </c>
      <c r="I16" s="251" t="b">
        <v>1</v>
      </c>
      <c r="J16" s="6"/>
      <c r="K16" s="6"/>
      <c r="L16" s="148"/>
    </row>
    <row r="17" spans="1:12" ht="22.5" customHeight="1">
      <c r="A17" s="148"/>
      <c r="B17" s="6"/>
      <c r="C17" s="6"/>
      <c r="D17" s="230">
        <v>3</v>
      </c>
      <c r="E17" s="510" t="s">
        <v>165</v>
      </c>
      <c r="F17" s="487"/>
      <c r="G17" s="250" t="b">
        <v>1</v>
      </c>
      <c r="H17" s="250" t="b">
        <v>1</v>
      </c>
      <c r="I17" s="251" t="b">
        <v>1</v>
      </c>
      <c r="J17" s="6"/>
      <c r="K17" s="6"/>
      <c r="L17" s="148"/>
    </row>
    <row r="18" spans="1:12" ht="22.5" customHeight="1">
      <c r="A18" s="148"/>
      <c r="B18" s="6"/>
      <c r="C18" s="6"/>
      <c r="D18" s="230">
        <v>4</v>
      </c>
      <c r="E18" s="511" t="s">
        <v>172</v>
      </c>
      <c r="F18" s="495"/>
      <c r="G18" s="250" t="b">
        <v>1</v>
      </c>
      <c r="H18" s="250" t="b">
        <v>1</v>
      </c>
      <c r="I18" s="251" t="b">
        <v>1</v>
      </c>
      <c r="J18" s="6"/>
      <c r="K18" s="6"/>
      <c r="L18" s="148"/>
    </row>
    <row r="19" spans="1:12" ht="22.5" customHeight="1">
      <c r="A19" s="148"/>
      <c r="B19" s="6"/>
      <c r="C19" s="6"/>
      <c r="D19" s="230">
        <v>5</v>
      </c>
      <c r="E19" s="510" t="s">
        <v>178</v>
      </c>
      <c r="F19" s="487"/>
      <c r="G19" s="250" t="b">
        <v>1</v>
      </c>
      <c r="H19" s="250" t="b">
        <v>1</v>
      </c>
      <c r="I19" s="251" t="b">
        <v>1</v>
      </c>
      <c r="J19" s="6"/>
      <c r="K19" s="6"/>
      <c r="L19" s="148"/>
    </row>
    <row r="20" spans="1:12" ht="22.5" customHeight="1">
      <c r="A20" s="148"/>
      <c r="B20" s="6"/>
      <c r="C20" s="6"/>
      <c r="D20" s="230">
        <v>6</v>
      </c>
      <c r="E20" s="511" t="s">
        <v>185</v>
      </c>
      <c r="F20" s="495"/>
      <c r="G20" s="250" t="b">
        <v>1</v>
      </c>
      <c r="H20" s="250" t="b">
        <v>1</v>
      </c>
      <c r="I20" s="251" t="b">
        <v>1</v>
      </c>
      <c r="J20" s="6"/>
      <c r="K20" s="6"/>
      <c r="L20" s="148"/>
    </row>
    <row r="21" spans="1:12" ht="22.5" customHeight="1">
      <c r="A21" s="148"/>
      <c r="B21" s="6"/>
      <c r="C21" s="6"/>
      <c r="D21" s="230">
        <v>7</v>
      </c>
      <c r="E21" s="510" t="s">
        <v>189</v>
      </c>
      <c r="F21" s="487"/>
      <c r="G21" s="250" t="b">
        <v>1</v>
      </c>
      <c r="H21" s="250" t="b">
        <v>1</v>
      </c>
      <c r="I21" s="251" t="b">
        <v>1</v>
      </c>
      <c r="J21" s="6"/>
      <c r="K21" s="6"/>
      <c r="L21" s="148"/>
    </row>
    <row r="22" spans="1:12" ht="22.5" customHeight="1">
      <c r="A22" s="148"/>
      <c r="B22" s="6"/>
      <c r="C22" s="6"/>
      <c r="D22" s="230">
        <v>8</v>
      </c>
      <c r="E22" s="511" t="s">
        <v>196</v>
      </c>
      <c r="F22" s="495"/>
      <c r="G22" s="250" t="b">
        <v>1</v>
      </c>
      <c r="H22" s="250" t="b">
        <v>1</v>
      </c>
      <c r="I22" s="251" t="b">
        <v>1</v>
      </c>
      <c r="J22" s="6"/>
      <c r="K22" s="6"/>
      <c r="L22" s="148"/>
    </row>
    <row r="23" spans="1:12" ht="22.5" customHeight="1">
      <c r="A23" s="148"/>
      <c r="B23" s="6"/>
      <c r="C23" s="6"/>
      <c r="D23" s="230">
        <v>9</v>
      </c>
      <c r="E23" s="510" t="s">
        <v>203</v>
      </c>
      <c r="F23" s="487"/>
      <c r="G23" s="250" t="b">
        <v>1</v>
      </c>
      <c r="H23" s="250" t="b">
        <v>1</v>
      </c>
      <c r="I23" s="251" t="b">
        <v>1</v>
      </c>
      <c r="J23" s="6"/>
      <c r="K23" s="6"/>
      <c r="L23" s="148"/>
    </row>
    <row r="24" spans="1:12" ht="22.5" customHeight="1">
      <c r="A24" s="148"/>
      <c r="B24" s="6"/>
      <c r="C24" s="6"/>
      <c r="D24" s="289">
        <v>10</v>
      </c>
      <c r="E24" s="570" t="s">
        <v>209</v>
      </c>
      <c r="F24" s="507"/>
      <c r="G24" s="290" t="b">
        <v>1</v>
      </c>
      <c r="H24" s="290" t="b">
        <v>1</v>
      </c>
      <c r="I24" s="291" t="b">
        <v>1</v>
      </c>
      <c r="J24" s="6"/>
      <c r="K24" s="6"/>
      <c r="L24" s="148"/>
    </row>
    <row r="25" spans="1:12" ht="12.5">
      <c r="A25" s="148"/>
      <c r="B25" s="6"/>
      <c r="C25" s="6"/>
      <c r="D25" s="6"/>
      <c r="E25" s="6"/>
      <c r="F25" s="6"/>
      <c r="G25" s="6"/>
      <c r="H25" s="6"/>
      <c r="I25" s="6"/>
      <c r="J25" s="6"/>
      <c r="K25" s="6"/>
      <c r="L25" s="148"/>
    </row>
    <row r="26" spans="1:12" ht="37.5" customHeight="1">
      <c r="A26" s="148"/>
      <c r="B26" s="6"/>
      <c r="C26" s="6"/>
      <c r="D26" s="508" t="s">
        <v>219</v>
      </c>
      <c r="E26" s="509"/>
      <c r="F26" s="509"/>
      <c r="G26" s="157"/>
      <c r="H26" s="157"/>
      <c r="I26" s="158"/>
      <c r="J26" s="6"/>
      <c r="K26" s="6"/>
      <c r="L26" s="148"/>
    </row>
    <row r="27" spans="1:12" ht="22.5" customHeight="1">
      <c r="A27" s="148"/>
      <c r="B27" s="6"/>
      <c r="C27" s="6"/>
      <c r="D27" s="230">
        <v>1</v>
      </c>
      <c r="E27" s="510" t="s">
        <v>223</v>
      </c>
      <c r="F27" s="487"/>
      <c r="G27" s="231" t="b">
        <v>1</v>
      </c>
      <c r="H27" s="231" t="b">
        <v>1</v>
      </c>
      <c r="I27" s="232" t="b">
        <v>1</v>
      </c>
      <c r="J27" s="6"/>
      <c r="K27" s="6"/>
      <c r="L27" s="148"/>
    </row>
    <row r="28" spans="1:12" ht="22.5" customHeight="1">
      <c r="A28" s="148"/>
      <c r="B28" s="6"/>
      <c r="C28" s="6"/>
      <c r="D28" s="230">
        <v>2</v>
      </c>
      <c r="E28" s="511" t="s">
        <v>228</v>
      </c>
      <c r="F28" s="495"/>
      <c r="G28" s="250" t="b">
        <v>1</v>
      </c>
      <c r="H28" s="250" t="b">
        <v>1</v>
      </c>
      <c r="I28" s="251" t="b">
        <v>1</v>
      </c>
      <c r="J28" s="6"/>
      <c r="K28" s="6"/>
      <c r="L28" s="148"/>
    </row>
    <row r="29" spans="1:12" ht="22.5" customHeight="1">
      <c r="A29" s="148"/>
      <c r="B29" s="6"/>
      <c r="C29" s="6"/>
      <c r="D29" s="230">
        <v>3</v>
      </c>
      <c r="E29" s="510" t="s">
        <v>167</v>
      </c>
      <c r="F29" s="487"/>
      <c r="G29" s="250" t="b">
        <v>1</v>
      </c>
      <c r="H29" s="250" t="b">
        <v>1</v>
      </c>
      <c r="I29" s="251" t="b">
        <v>1</v>
      </c>
      <c r="J29" s="6"/>
      <c r="K29" s="6"/>
      <c r="L29" s="148"/>
    </row>
    <row r="30" spans="1:12" ht="22.5" customHeight="1">
      <c r="A30" s="148"/>
      <c r="B30" s="6"/>
      <c r="C30" s="6"/>
      <c r="D30" s="230">
        <v>4</v>
      </c>
      <c r="E30" s="511" t="s">
        <v>235</v>
      </c>
      <c r="F30" s="495"/>
      <c r="G30" s="250" t="b">
        <v>1</v>
      </c>
      <c r="H30" s="250" t="b">
        <v>1</v>
      </c>
      <c r="I30" s="251" t="b">
        <v>1</v>
      </c>
      <c r="J30" s="6"/>
      <c r="K30" s="6"/>
      <c r="L30" s="148"/>
    </row>
    <row r="31" spans="1:12" ht="22.5" customHeight="1">
      <c r="A31" s="148"/>
      <c r="B31" s="6"/>
      <c r="C31" s="6"/>
      <c r="D31" s="230">
        <v>5</v>
      </c>
      <c r="E31" s="510" t="s">
        <v>239</v>
      </c>
      <c r="F31" s="487"/>
      <c r="G31" s="250" t="b">
        <v>1</v>
      </c>
      <c r="H31" s="250" t="b">
        <v>1</v>
      </c>
      <c r="I31" s="251" t="b">
        <v>1</v>
      </c>
      <c r="J31" s="6"/>
      <c r="K31" s="6"/>
      <c r="L31" s="148"/>
    </row>
    <row r="32" spans="1:12" ht="22.5" customHeight="1">
      <c r="A32" s="148"/>
      <c r="B32" s="6"/>
      <c r="C32" s="6"/>
      <c r="D32" s="230">
        <v>6</v>
      </c>
      <c r="E32" s="511" t="s">
        <v>244</v>
      </c>
      <c r="F32" s="495"/>
      <c r="G32" s="317" t="s">
        <v>58</v>
      </c>
      <c r="H32" s="250" t="b">
        <v>1</v>
      </c>
      <c r="I32" s="251" t="b">
        <v>1</v>
      </c>
      <c r="J32" s="6"/>
      <c r="K32" s="6"/>
      <c r="L32" s="148"/>
    </row>
    <row r="33" spans="1:12" ht="22.5" customHeight="1">
      <c r="A33" s="148"/>
      <c r="B33" s="6"/>
      <c r="C33" s="6"/>
      <c r="D33" s="230">
        <v>7</v>
      </c>
      <c r="E33" s="510" t="s">
        <v>249</v>
      </c>
      <c r="F33" s="487"/>
      <c r="G33" s="317" t="s">
        <v>58</v>
      </c>
      <c r="H33" s="250" t="b">
        <v>1</v>
      </c>
      <c r="I33" s="251" t="b">
        <v>1</v>
      </c>
      <c r="J33" s="6"/>
      <c r="K33" s="6"/>
      <c r="L33" s="148"/>
    </row>
    <row r="34" spans="1:12" ht="22.5" customHeight="1">
      <c r="A34" s="148"/>
      <c r="B34" s="6"/>
      <c r="C34" s="6"/>
      <c r="D34" s="230">
        <v>8</v>
      </c>
      <c r="E34" s="511" t="s">
        <v>252</v>
      </c>
      <c r="F34" s="495"/>
      <c r="G34" s="317" t="s">
        <v>58</v>
      </c>
      <c r="H34" s="250" t="b">
        <v>1</v>
      </c>
      <c r="I34" s="251" t="b">
        <v>1</v>
      </c>
      <c r="J34" s="6"/>
      <c r="K34" s="6"/>
      <c r="L34" s="148"/>
    </row>
    <row r="35" spans="1:12" ht="22.5" customHeight="1">
      <c r="A35" s="148"/>
      <c r="B35" s="6"/>
      <c r="C35" s="6"/>
      <c r="D35" s="230">
        <v>9</v>
      </c>
      <c r="E35" s="510" t="s">
        <v>255</v>
      </c>
      <c r="F35" s="487"/>
      <c r="G35" s="317" t="s">
        <v>58</v>
      </c>
      <c r="H35" s="317" t="s">
        <v>58</v>
      </c>
      <c r="I35" s="251" t="b">
        <v>1</v>
      </c>
      <c r="J35" s="6"/>
      <c r="K35" s="6"/>
      <c r="L35" s="148"/>
    </row>
    <row r="36" spans="1:12" ht="22.5" customHeight="1">
      <c r="A36" s="148"/>
      <c r="B36" s="6"/>
      <c r="C36" s="6"/>
      <c r="D36" s="230">
        <v>10</v>
      </c>
      <c r="E36" s="510" t="s">
        <v>260</v>
      </c>
      <c r="F36" s="487"/>
      <c r="G36" s="317" t="s">
        <v>58</v>
      </c>
      <c r="H36" s="317" t="s">
        <v>58</v>
      </c>
      <c r="I36" s="251" t="b">
        <v>1</v>
      </c>
      <c r="J36" s="6"/>
      <c r="K36" s="6"/>
      <c r="L36" s="148"/>
    </row>
    <row r="37" spans="1:12" ht="22.5" customHeight="1">
      <c r="A37" s="148"/>
      <c r="B37" s="6"/>
      <c r="C37" s="6"/>
      <c r="D37" s="289">
        <v>11</v>
      </c>
      <c r="E37" s="570" t="s">
        <v>265</v>
      </c>
      <c r="F37" s="507"/>
      <c r="G37" s="333" t="s">
        <v>58</v>
      </c>
      <c r="H37" s="333" t="s">
        <v>58</v>
      </c>
      <c r="I37" s="291" t="b">
        <v>1</v>
      </c>
      <c r="J37" s="6"/>
      <c r="K37" s="6"/>
      <c r="L37" s="148"/>
    </row>
    <row r="38" spans="1:12" ht="12.5">
      <c r="A38" s="148"/>
      <c r="B38" s="6"/>
      <c r="C38" s="6"/>
      <c r="D38" s="6"/>
      <c r="E38" s="6"/>
      <c r="F38" s="6"/>
      <c r="G38" s="6"/>
      <c r="H38" s="6"/>
      <c r="I38" s="6"/>
      <c r="J38" s="6"/>
      <c r="K38" s="6"/>
      <c r="L38" s="148"/>
    </row>
    <row r="39" spans="1:12" ht="37.5" customHeight="1">
      <c r="A39" s="148"/>
      <c r="B39" s="6"/>
      <c r="C39" s="6"/>
      <c r="D39" s="508" t="s">
        <v>267</v>
      </c>
      <c r="E39" s="509"/>
      <c r="F39" s="509"/>
      <c r="G39" s="157"/>
      <c r="H39" s="157"/>
      <c r="I39" s="158"/>
      <c r="J39" s="6"/>
      <c r="K39" s="6"/>
      <c r="L39" s="148"/>
    </row>
    <row r="40" spans="1:12" ht="22.5" customHeight="1">
      <c r="A40" s="148"/>
      <c r="B40" s="6"/>
      <c r="C40" s="6"/>
      <c r="D40" s="230">
        <v>1</v>
      </c>
      <c r="E40" s="510" t="s">
        <v>268</v>
      </c>
      <c r="F40" s="487"/>
      <c r="G40" s="231" t="b">
        <v>1</v>
      </c>
      <c r="H40" s="231" t="b">
        <v>1</v>
      </c>
      <c r="I40" s="232" t="b">
        <v>1</v>
      </c>
      <c r="J40" s="6"/>
      <c r="K40" s="6"/>
      <c r="L40" s="148"/>
    </row>
    <row r="41" spans="1:12" ht="22.5" customHeight="1">
      <c r="A41" s="148"/>
      <c r="B41" s="6"/>
      <c r="C41" s="6"/>
      <c r="D41" s="230">
        <v>2</v>
      </c>
      <c r="E41" s="511" t="s">
        <v>269</v>
      </c>
      <c r="F41" s="495"/>
      <c r="G41" s="250" t="b">
        <v>1</v>
      </c>
      <c r="H41" s="250" t="b">
        <v>1</v>
      </c>
      <c r="I41" s="251" t="b">
        <v>1</v>
      </c>
      <c r="J41" s="6"/>
      <c r="K41" s="6"/>
      <c r="L41" s="148"/>
    </row>
    <row r="42" spans="1:12" ht="22.5" customHeight="1">
      <c r="A42" s="148"/>
      <c r="B42" s="6"/>
      <c r="C42" s="6"/>
      <c r="D42" s="289">
        <v>3</v>
      </c>
      <c r="E42" s="565" t="s">
        <v>270</v>
      </c>
      <c r="F42" s="566"/>
      <c r="G42" s="290" t="b">
        <v>1</v>
      </c>
      <c r="H42" s="290" t="b">
        <v>1</v>
      </c>
      <c r="I42" s="291" t="b">
        <v>1</v>
      </c>
      <c r="J42" s="6"/>
      <c r="K42" s="6"/>
      <c r="L42" s="148"/>
    </row>
    <row r="43" spans="1:12" ht="12.5">
      <c r="A43" s="148"/>
      <c r="B43" s="6"/>
      <c r="C43" s="6"/>
      <c r="D43" s="6"/>
      <c r="E43" s="6"/>
      <c r="F43" s="6"/>
      <c r="G43" s="6"/>
      <c r="H43" s="6"/>
      <c r="I43" s="6"/>
      <c r="J43" s="6"/>
      <c r="K43" s="6"/>
      <c r="L43" s="148"/>
    </row>
    <row r="44" spans="1:12" ht="37.5" customHeight="1">
      <c r="A44" s="148"/>
      <c r="B44" s="6"/>
      <c r="C44" s="6"/>
      <c r="D44" s="508" t="s">
        <v>190</v>
      </c>
      <c r="E44" s="509"/>
      <c r="F44" s="509"/>
      <c r="G44" s="157"/>
      <c r="H44" s="157"/>
      <c r="I44" s="158"/>
      <c r="J44" s="6"/>
      <c r="K44" s="6"/>
      <c r="L44" s="148"/>
    </row>
    <row r="45" spans="1:12" ht="22.5" customHeight="1">
      <c r="A45" s="148"/>
      <c r="B45" s="6"/>
      <c r="C45" s="6"/>
      <c r="D45" s="230">
        <v>1</v>
      </c>
      <c r="E45" s="510" t="s">
        <v>271</v>
      </c>
      <c r="F45" s="487"/>
      <c r="G45" s="231" t="b">
        <v>1</v>
      </c>
      <c r="H45" s="231" t="b">
        <v>1</v>
      </c>
      <c r="I45" s="232" t="b">
        <v>1</v>
      </c>
      <c r="J45" s="6"/>
      <c r="K45" s="6"/>
      <c r="L45" s="148"/>
    </row>
    <row r="46" spans="1:12" ht="22.5" customHeight="1">
      <c r="A46" s="148"/>
      <c r="B46" s="6"/>
      <c r="C46" s="6"/>
      <c r="D46" s="230">
        <v>2</v>
      </c>
      <c r="E46" s="511" t="s">
        <v>272</v>
      </c>
      <c r="F46" s="495"/>
      <c r="G46" s="250" t="b">
        <v>1</v>
      </c>
      <c r="H46" s="250" t="b">
        <v>1</v>
      </c>
      <c r="I46" s="251" t="b">
        <v>1</v>
      </c>
      <c r="J46" s="6"/>
      <c r="K46" s="6"/>
      <c r="L46" s="148"/>
    </row>
    <row r="47" spans="1:12" ht="22.5" customHeight="1">
      <c r="A47" s="148"/>
      <c r="B47" s="6"/>
      <c r="C47" s="6"/>
      <c r="D47" s="289">
        <v>3</v>
      </c>
      <c r="E47" s="565" t="s">
        <v>215</v>
      </c>
      <c r="F47" s="566"/>
      <c r="G47" s="290" t="b">
        <v>1</v>
      </c>
      <c r="H47" s="290" t="b">
        <v>1</v>
      </c>
      <c r="I47" s="291" t="b">
        <v>1</v>
      </c>
      <c r="J47" s="6"/>
      <c r="K47" s="6"/>
      <c r="L47" s="148"/>
    </row>
    <row r="48" spans="1:12" ht="12.5">
      <c r="A48" s="148"/>
      <c r="B48" s="6"/>
      <c r="C48" s="6"/>
      <c r="D48" s="6"/>
      <c r="E48" s="6"/>
      <c r="F48" s="6"/>
      <c r="G48" s="6"/>
      <c r="H48" s="6"/>
      <c r="I48" s="6"/>
      <c r="J48" s="6"/>
      <c r="K48" s="6"/>
      <c r="L48" s="148"/>
    </row>
    <row r="49" spans="1:12" ht="37.5" customHeight="1">
      <c r="A49" s="148"/>
      <c r="B49" s="6"/>
      <c r="C49" s="6"/>
      <c r="D49" s="508" t="s">
        <v>29</v>
      </c>
      <c r="E49" s="509"/>
      <c r="F49" s="509"/>
      <c r="G49" s="157"/>
      <c r="H49" s="157"/>
      <c r="I49" s="158"/>
      <c r="J49" s="6"/>
      <c r="K49" s="6"/>
      <c r="L49" s="148"/>
    </row>
    <row r="50" spans="1:12" ht="22.5" customHeight="1">
      <c r="A50" s="148"/>
      <c r="B50" s="6"/>
      <c r="C50" s="6"/>
      <c r="D50" s="230">
        <v>1</v>
      </c>
      <c r="E50" s="510" t="s">
        <v>273</v>
      </c>
      <c r="F50" s="487"/>
      <c r="G50" s="231" t="b">
        <v>1</v>
      </c>
      <c r="H50" s="231" t="b">
        <v>1</v>
      </c>
      <c r="I50" s="232" t="b">
        <v>1</v>
      </c>
      <c r="J50" s="6"/>
      <c r="K50" s="6"/>
      <c r="L50" s="148"/>
    </row>
    <row r="51" spans="1:12" ht="22.5" customHeight="1">
      <c r="A51" s="148"/>
      <c r="B51" s="6"/>
      <c r="C51" s="6"/>
      <c r="D51" s="230">
        <v>2</v>
      </c>
      <c r="E51" s="511" t="s">
        <v>274</v>
      </c>
      <c r="F51" s="495"/>
      <c r="G51" s="250" t="b">
        <v>1</v>
      </c>
      <c r="H51" s="250" t="b">
        <v>1</v>
      </c>
      <c r="I51" s="251" t="b">
        <v>1</v>
      </c>
      <c r="J51" s="6"/>
      <c r="K51" s="6"/>
      <c r="L51" s="148"/>
    </row>
    <row r="52" spans="1:12" ht="22.5" customHeight="1">
      <c r="A52" s="148"/>
      <c r="B52" s="6"/>
      <c r="C52" s="6"/>
      <c r="D52" s="230">
        <v>3</v>
      </c>
      <c r="E52" s="510" t="s">
        <v>275</v>
      </c>
      <c r="F52" s="487"/>
      <c r="G52" s="250" t="b">
        <v>1</v>
      </c>
      <c r="H52" s="250" t="b">
        <v>1</v>
      </c>
      <c r="I52" s="251" t="b">
        <v>1</v>
      </c>
      <c r="J52" s="6"/>
      <c r="K52" s="6"/>
      <c r="L52" s="148"/>
    </row>
    <row r="53" spans="1:12" ht="22.5" customHeight="1">
      <c r="A53" s="148"/>
      <c r="B53" s="6"/>
      <c r="C53" s="6"/>
      <c r="D53" s="230">
        <v>4</v>
      </c>
      <c r="E53" s="511" t="s">
        <v>276</v>
      </c>
      <c r="F53" s="495"/>
      <c r="G53" s="250" t="b">
        <v>1</v>
      </c>
      <c r="H53" s="250" t="b">
        <v>1</v>
      </c>
      <c r="I53" s="251" t="b">
        <v>1</v>
      </c>
      <c r="J53" s="6"/>
      <c r="K53" s="6"/>
      <c r="L53" s="148"/>
    </row>
    <row r="54" spans="1:12" ht="22.5" customHeight="1">
      <c r="A54" s="148"/>
      <c r="B54" s="6"/>
      <c r="C54" s="6"/>
      <c r="D54" s="230">
        <v>5</v>
      </c>
      <c r="E54" s="510" t="s">
        <v>277</v>
      </c>
      <c r="F54" s="487"/>
      <c r="G54" s="317" t="s">
        <v>58</v>
      </c>
      <c r="H54" s="250" t="b">
        <v>1</v>
      </c>
      <c r="I54" s="251" t="b">
        <v>1</v>
      </c>
      <c r="J54" s="6"/>
      <c r="K54" s="6"/>
      <c r="L54" s="148"/>
    </row>
    <row r="55" spans="1:12" ht="22.5" customHeight="1">
      <c r="A55" s="148"/>
      <c r="B55" s="6"/>
      <c r="C55" s="6"/>
      <c r="D55" s="230">
        <v>6</v>
      </c>
      <c r="E55" s="511" t="s">
        <v>245</v>
      </c>
      <c r="F55" s="495"/>
      <c r="G55" s="317" t="s">
        <v>58</v>
      </c>
      <c r="H55" s="250" t="b">
        <v>1</v>
      </c>
      <c r="I55" s="251" t="b">
        <v>1</v>
      </c>
      <c r="J55" s="6"/>
      <c r="K55" s="6"/>
      <c r="L55" s="148"/>
    </row>
    <row r="56" spans="1:12" ht="22.5" customHeight="1">
      <c r="A56" s="148"/>
      <c r="B56" s="6"/>
      <c r="C56" s="6"/>
      <c r="D56" s="289">
        <v>7</v>
      </c>
      <c r="E56" s="565" t="s">
        <v>278</v>
      </c>
      <c r="F56" s="566"/>
      <c r="G56" s="333" t="s">
        <v>58</v>
      </c>
      <c r="H56" s="290" t="b">
        <v>1</v>
      </c>
      <c r="I56" s="291" t="b">
        <v>1</v>
      </c>
      <c r="J56" s="6"/>
      <c r="K56" s="6"/>
      <c r="L56" s="148"/>
    </row>
    <row r="57" spans="1:12" ht="12.5">
      <c r="A57" s="148"/>
      <c r="B57" s="6"/>
      <c r="C57" s="6"/>
      <c r="D57" s="6"/>
      <c r="E57" s="6"/>
      <c r="F57" s="6"/>
      <c r="G57" s="6"/>
      <c r="H57" s="6"/>
      <c r="I57" s="6"/>
      <c r="J57" s="6"/>
      <c r="K57" s="6"/>
      <c r="L57" s="148"/>
    </row>
    <row r="58" spans="1:12" ht="37.5" customHeight="1">
      <c r="A58" s="148"/>
      <c r="B58" s="6"/>
      <c r="C58" s="6"/>
      <c r="D58" s="508" t="s">
        <v>253</v>
      </c>
      <c r="E58" s="509"/>
      <c r="F58" s="509"/>
      <c r="G58" s="157"/>
      <c r="H58" s="157"/>
      <c r="I58" s="158"/>
      <c r="J58" s="6"/>
      <c r="K58" s="6"/>
      <c r="L58" s="148"/>
    </row>
    <row r="59" spans="1:12" ht="22.5" customHeight="1">
      <c r="A59" s="148"/>
      <c r="B59" s="6"/>
      <c r="C59" s="6"/>
      <c r="D59" s="230">
        <v>1</v>
      </c>
      <c r="E59" s="510" t="s">
        <v>279</v>
      </c>
      <c r="F59" s="487"/>
      <c r="G59" s="231" t="b">
        <v>1</v>
      </c>
      <c r="H59" s="231" t="b">
        <v>1</v>
      </c>
      <c r="I59" s="232" t="b">
        <v>1</v>
      </c>
      <c r="J59" s="6"/>
      <c r="K59" s="6"/>
      <c r="L59" s="148"/>
    </row>
    <row r="60" spans="1:12" ht="22.5" customHeight="1">
      <c r="A60" s="148"/>
      <c r="B60" s="6"/>
      <c r="C60" s="6"/>
      <c r="D60" s="230">
        <v>2</v>
      </c>
      <c r="E60" s="511" t="s">
        <v>280</v>
      </c>
      <c r="F60" s="495"/>
      <c r="G60" s="250" t="b">
        <v>1</v>
      </c>
      <c r="H60" s="250" t="b">
        <v>1</v>
      </c>
      <c r="I60" s="251" t="b">
        <v>1</v>
      </c>
      <c r="J60" s="6"/>
      <c r="K60" s="6"/>
      <c r="L60" s="148"/>
    </row>
    <row r="61" spans="1:12" ht="22.5" customHeight="1">
      <c r="A61" s="148"/>
      <c r="B61" s="6"/>
      <c r="C61" s="6"/>
      <c r="D61" s="230">
        <v>3</v>
      </c>
      <c r="E61" s="510" t="s">
        <v>281</v>
      </c>
      <c r="F61" s="487"/>
      <c r="G61" s="250" t="b">
        <v>1</v>
      </c>
      <c r="H61" s="250" t="b">
        <v>1</v>
      </c>
      <c r="I61" s="251" t="b">
        <v>1</v>
      </c>
      <c r="J61" s="6"/>
      <c r="K61" s="6"/>
      <c r="L61" s="148"/>
    </row>
    <row r="62" spans="1:12" ht="22.5" customHeight="1">
      <c r="A62" s="148"/>
      <c r="B62" s="6"/>
      <c r="C62" s="6"/>
      <c r="D62" s="230">
        <v>4</v>
      </c>
      <c r="E62" s="511" t="s">
        <v>282</v>
      </c>
      <c r="F62" s="495"/>
      <c r="G62" s="250" t="b">
        <v>1</v>
      </c>
      <c r="H62" s="250" t="b">
        <v>1</v>
      </c>
      <c r="I62" s="251" t="b">
        <v>1</v>
      </c>
      <c r="J62" s="6"/>
      <c r="K62" s="6"/>
      <c r="L62" s="148"/>
    </row>
    <row r="63" spans="1:12" ht="22.5" customHeight="1">
      <c r="A63" s="148"/>
      <c r="B63" s="6"/>
      <c r="C63" s="6"/>
      <c r="D63" s="230">
        <v>5</v>
      </c>
      <c r="E63" s="510" t="s">
        <v>283</v>
      </c>
      <c r="F63" s="487"/>
      <c r="G63" s="317" t="s">
        <v>58</v>
      </c>
      <c r="H63" s="250" t="b">
        <v>1</v>
      </c>
      <c r="I63" s="251" t="b">
        <v>1</v>
      </c>
      <c r="J63" s="6"/>
      <c r="K63" s="6"/>
      <c r="L63" s="148"/>
    </row>
    <row r="64" spans="1:12" ht="22.5" customHeight="1">
      <c r="A64" s="148"/>
      <c r="B64" s="6"/>
      <c r="C64" s="6"/>
      <c r="D64" s="230">
        <v>6</v>
      </c>
      <c r="E64" s="511" t="s">
        <v>284</v>
      </c>
      <c r="F64" s="495"/>
      <c r="G64" s="317" t="s">
        <v>58</v>
      </c>
      <c r="H64" s="250" t="b">
        <v>1</v>
      </c>
      <c r="I64" s="251" t="b">
        <v>1</v>
      </c>
      <c r="J64" s="6"/>
      <c r="K64" s="6"/>
      <c r="L64" s="148"/>
    </row>
    <row r="65" spans="1:12" ht="22.5" customHeight="1">
      <c r="A65" s="148"/>
      <c r="B65" s="6"/>
      <c r="C65" s="6"/>
      <c r="D65" s="230">
        <v>7</v>
      </c>
      <c r="E65" s="511" t="s">
        <v>285</v>
      </c>
      <c r="F65" s="495"/>
      <c r="G65" s="317" t="s">
        <v>58</v>
      </c>
      <c r="H65" s="250" t="b">
        <v>1</v>
      </c>
      <c r="I65" s="251" t="b">
        <v>1</v>
      </c>
      <c r="J65" s="6"/>
      <c r="K65" s="6"/>
      <c r="L65" s="148"/>
    </row>
    <row r="66" spans="1:12" ht="22.5" customHeight="1">
      <c r="A66" s="148"/>
      <c r="B66" s="6"/>
      <c r="C66" s="6"/>
      <c r="D66" s="230">
        <v>8</v>
      </c>
      <c r="E66" s="511" t="s">
        <v>286</v>
      </c>
      <c r="F66" s="495"/>
      <c r="G66" s="317" t="s">
        <v>58</v>
      </c>
      <c r="H66" s="317" t="s">
        <v>58</v>
      </c>
      <c r="I66" s="251" t="b">
        <v>1</v>
      </c>
      <c r="J66" s="6"/>
      <c r="K66" s="6"/>
      <c r="L66" s="148"/>
    </row>
    <row r="67" spans="1:12" ht="22.5" customHeight="1">
      <c r="A67" s="148"/>
      <c r="B67" s="6"/>
      <c r="C67" s="6"/>
      <c r="D67" s="289">
        <v>9</v>
      </c>
      <c r="E67" s="565" t="s">
        <v>287</v>
      </c>
      <c r="F67" s="566"/>
      <c r="G67" s="333" t="s">
        <v>58</v>
      </c>
      <c r="H67" s="333" t="s">
        <v>58</v>
      </c>
      <c r="I67" s="291" t="b">
        <v>1</v>
      </c>
      <c r="J67" s="6"/>
      <c r="K67" s="6"/>
      <c r="L67" s="148"/>
    </row>
    <row r="68" spans="1:12" ht="12.5">
      <c r="A68" s="148"/>
      <c r="B68" s="6"/>
      <c r="C68" s="6"/>
      <c r="D68" s="6"/>
      <c r="E68" s="6"/>
      <c r="F68" s="6"/>
      <c r="G68" s="6"/>
      <c r="H68" s="6"/>
      <c r="I68" s="6"/>
      <c r="J68" s="6"/>
      <c r="K68" s="6"/>
      <c r="L68" s="148"/>
    </row>
    <row r="69" spans="1:12" ht="37.5" customHeight="1">
      <c r="A69" s="148"/>
      <c r="B69" s="6"/>
      <c r="C69" s="6"/>
      <c r="D69" s="508" t="s">
        <v>213</v>
      </c>
      <c r="E69" s="509"/>
      <c r="F69" s="509"/>
      <c r="G69" s="157"/>
      <c r="H69" s="157"/>
      <c r="I69" s="158"/>
      <c r="J69" s="6"/>
      <c r="K69" s="6"/>
      <c r="L69" s="148"/>
    </row>
    <row r="70" spans="1:12" ht="22.5" customHeight="1">
      <c r="A70" s="148"/>
      <c r="B70" s="6"/>
      <c r="C70" s="6"/>
      <c r="D70" s="230">
        <v>1</v>
      </c>
      <c r="E70" s="510" t="s">
        <v>77</v>
      </c>
      <c r="F70" s="487"/>
      <c r="G70" s="231" t="b">
        <v>1</v>
      </c>
      <c r="H70" s="231" t="b">
        <v>1</v>
      </c>
      <c r="I70" s="232" t="b">
        <v>1</v>
      </c>
      <c r="J70" s="6"/>
      <c r="K70" s="6"/>
      <c r="L70" s="148"/>
    </row>
    <row r="71" spans="1:12" ht="22.5" customHeight="1">
      <c r="A71" s="148"/>
      <c r="B71" s="6"/>
      <c r="C71" s="6"/>
      <c r="D71" s="230">
        <v>2</v>
      </c>
      <c r="E71" s="511" t="s">
        <v>79</v>
      </c>
      <c r="F71" s="495"/>
      <c r="G71" s="250" t="b">
        <v>1</v>
      </c>
      <c r="H71" s="250" t="b">
        <v>1</v>
      </c>
      <c r="I71" s="251" t="b">
        <v>1</v>
      </c>
      <c r="J71" s="6"/>
      <c r="K71" s="6"/>
      <c r="L71" s="148"/>
    </row>
    <row r="72" spans="1:12" ht="22.5" customHeight="1">
      <c r="A72" s="148"/>
      <c r="B72" s="6"/>
      <c r="C72" s="6"/>
      <c r="D72" s="230">
        <v>3</v>
      </c>
      <c r="E72" s="510" t="s">
        <v>80</v>
      </c>
      <c r="F72" s="487"/>
      <c r="G72" s="250" t="b">
        <v>1</v>
      </c>
      <c r="H72" s="250" t="b">
        <v>1</v>
      </c>
      <c r="I72" s="251" t="b">
        <v>1</v>
      </c>
      <c r="J72" s="6"/>
      <c r="K72" s="6"/>
      <c r="L72" s="148"/>
    </row>
    <row r="73" spans="1:12" ht="22.5" customHeight="1">
      <c r="A73" s="148"/>
      <c r="B73" s="6"/>
      <c r="C73" s="6"/>
      <c r="D73" s="230">
        <v>4</v>
      </c>
      <c r="E73" s="511" t="s">
        <v>81</v>
      </c>
      <c r="F73" s="495"/>
      <c r="G73" s="317" t="s">
        <v>58</v>
      </c>
      <c r="H73" s="250" t="b">
        <v>1</v>
      </c>
      <c r="I73" s="251" t="b">
        <v>1</v>
      </c>
      <c r="J73" s="6"/>
      <c r="K73" s="6"/>
      <c r="L73" s="148"/>
    </row>
    <row r="74" spans="1:12" ht="22.5" customHeight="1">
      <c r="A74" s="148"/>
      <c r="B74" s="6"/>
      <c r="C74" s="6"/>
      <c r="D74" s="230">
        <v>5</v>
      </c>
      <c r="E74" s="510" t="s">
        <v>82</v>
      </c>
      <c r="F74" s="487"/>
      <c r="G74" s="317" t="s">
        <v>58</v>
      </c>
      <c r="H74" s="250" t="b">
        <v>1</v>
      </c>
      <c r="I74" s="251" t="b">
        <v>1</v>
      </c>
      <c r="J74" s="6"/>
      <c r="K74" s="6"/>
      <c r="L74" s="148"/>
    </row>
    <row r="75" spans="1:12" ht="22.5" customHeight="1">
      <c r="A75" s="148"/>
      <c r="B75" s="6"/>
      <c r="C75" s="6"/>
      <c r="D75" s="289">
        <v>6</v>
      </c>
      <c r="E75" s="570" t="s">
        <v>83</v>
      </c>
      <c r="F75" s="507"/>
      <c r="G75" s="333" t="s">
        <v>58</v>
      </c>
      <c r="H75" s="333" t="s">
        <v>58</v>
      </c>
      <c r="I75" s="291" t="b">
        <v>1</v>
      </c>
      <c r="J75" s="6"/>
      <c r="K75" s="6"/>
      <c r="L75" s="148"/>
    </row>
    <row r="76" spans="1:12" ht="12.5">
      <c r="A76" s="148"/>
      <c r="B76" s="6"/>
      <c r="C76" s="6"/>
      <c r="D76" s="6"/>
      <c r="E76" s="6"/>
      <c r="F76" s="6"/>
      <c r="G76" s="6"/>
      <c r="H76" s="6"/>
      <c r="I76" s="6"/>
      <c r="J76" s="6"/>
      <c r="K76" s="6"/>
      <c r="L76" s="148"/>
    </row>
    <row r="77" spans="1:12" ht="37.5" customHeight="1">
      <c r="A77" s="148"/>
      <c r="B77" s="6"/>
      <c r="C77" s="6"/>
      <c r="D77" s="508" t="s">
        <v>248</v>
      </c>
      <c r="E77" s="509"/>
      <c r="F77" s="509"/>
      <c r="G77" s="157"/>
      <c r="H77" s="157"/>
      <c r="I77" s="158"/>
      <c r="J77" s="6"/>
      <c r="K77" s="6"/>
      <c r="L77" s="148"/>
    </row>
    <row r="78" spans="1:12" ht="22.5" customHeight="1">
      <c r="A78" s="148"/>
      <c r="B78" s="6"/>
      <c r="C78" s="6"/>
      <c r="D78" s="230">
        <v>1</v>
      </c>
      <c r="E78" s="510" t="s">
        <v>86</v>
      </c>
      <c r="F78" s="487"/>
      <c r="G78" s="231" t="b">
        <v>1</v>
      </c>
      <c r="H78" s="231" t="b">
        <v>1</v>
      </c>
      <c r="I78" s="232" t="b">
        <v>1</v>
      </c>
      <c r="J78" s="6"/>
      <c r="K78" s="6"/>
      <c r="L78" s="148"/>
    </row>
    <row r="79" spans="1:12" ht="22.5" customHeight="1">
      <c r="A79" s="148"/>
      <c r="B79" s="6"/>
      <c r="C79" s="6"/>
      <c r="D79" s="230">
        <v>2</v>
      </c>
      <c r="E79" s="511" t="s">
        <v>87</v>
      </c>
      <c r="F79" s="495"/>
      <c r="G79" s="250" t="b">
        <v>1</v>
      </c>
      <c r="H79" s="250" t="b">
        <v>1</v>
      </c>
      <c r="I79" s="251" t="b">
        <v>1</v>
      </c>
      <c r="J79" s="6"/>
      <c r="K79" s="6"/>
      <c r="L79" s="148"/>
    </row>
    <row r="80" spans="1:12" ht="22.5" customHeight="1">
      <c r="A80" s="148"/>
      <c r="B80" s="6"/>
      <c r="C80" s="6"/>
      <c r="D80" s="230">
        <v>3</v>
      </c>
      <c r="E80" s="510" t="s">
        <v>88</v>
      </c>
      <c r="F80" s="487"/>
      <c r="G80" s="250" t="b">
        <v>1</v>
      </c>
      <c r="H80" s="250" t="b">
        <v>1</v>
      </c>
      <c r="I80" s="251" t="b">
        <v>1</v>
      </c>
      <c r="J80" s="6"/>
      <c r="K80" s="6"/>
      <c r="L80" s="148"/>
    </row>
    <row r="81" spans="1:12" ht="22.5" customHeight="1">
      <c r="A81" s="148"/>
      <c r="B81" s="6"/>
      <c r="C81" s="6"/>
      <c r="D81" s="230">
        <v>4</v>
      </c>
      <c r="E81" s="511" t="s">
        <v>89</v>
      </c>
      <c r="F81" s="495"/>
      <c r="G81" s="317" t="s">
        <v>58</v>
      </c>
      <c r="H81" s="250" t="b">
        <v>1</v>
      </c>
      <c r="I81" s="251" t="b">
        <v>1</v>
      </c>
      <c r="J81" s="6"/>
      <c r="K81" s="6"/>
      <c r="L81" s="148"/>
    </row>
    <row r="82" spans="1:12" ht="22.5" customHeight="1">
      <c r="A82" s="148"/>
      <c r="B82" s="6"/>
      <c r="C82" s="6"/>
      <c r="D82" s="289">
        <v>5</v>
      </c>
      <c r="E82" s="565" t="s">
        <v>90</v>
      </c>
      <c r="F82" s="566"/>
      <c r="G82" s="333" t="s">
        <v>58</v>
      </c>
      <c r="H82" s="333" t="s">
        <v>58</v>
      </c>
      <c r="I82" s="291" t="b">
        <v>1</v>
      </c>
      <c r="J82" s="6"/>
      <c r="K82" s="6"/>
      <c r="L82" s="148"/>
    </row>
    <row r="83" spans="1:12" ht="12.5">
      <c r="A83" s="148"/>
      <c r="B83" s="6"/>
      <c r="C83" s="6"/>
      <c r="D83" s="6"/>
      <c r="E83" s="6"/>
      <c r="F83" s="6"/>
      <c r="G83" s="6"/>
      <c r="H83" s="6"/>
      <c r="I83" s="6"/>
      <c r="J83" s="6"/>
      <c r="K83" s="6"/>
      <c r="L83" s="148"/>
    </row>
    <row r="84" spans="1:12" ht="37.5" customHeight="1">
      <c r="A84" s="148"/>
      <c r="B84" s="6"/>
      <c r="C84" s="6"/>
      <c r="D84" s="508" t="s">
        <v>288</v>
      </c>
      <c r="E84" s="509"/>
      <c r="F84" s="509"/>
      <c r="G84" s="157"/>
      <c r="H84" s="157"/>
      <c r="I84" s="158"/>
      <c r="J84" s="6"/>
      <c r="K84" s="6"/>
      <c r="L84" s="148"/>
    </row>
    <row r="85" spans="1:12" ht="22.5" customHeight="1">
      <c r="A85" s="148"/>
      <c r="B85" s="6"/>
      <c r="C85" s="6"/>
      <c r="D85" s="230">
        <v>1</v>
      </c>
      <c r="E85" s="510" t="s">
        <v>92</v>
      </c>
      <c r="F85" s="487"/>
      <c r="G85" s="172">
        <v>5000000</v>
      </c>
      <c r="H85" s="172">
        <v>5000000</v>
      </c>
      <c r="I85" s="173">
        <v>5000000</v>
      </c>
      <c r="J85" s="6"/>
      <c r="K85" s="6"/>
      <c r="L85" s="148"/>
    </row>
    <row r="86" spans="1:12" ht="22.5" customHeight="1">
      <c r="A86" s="148"/>
      <c r="B86" s="6"/>
      <c r="C86" s="6"/>
      <c r="D86" s="230">
        <v>2</v>
      </c>
      <c r="E86" s="511" t="s">
        <v>31</v>
      </c>
      <c r="F86" s="495"/>
      <c r="G86" s="192" t="s">
        <v>289</v>
      </c>
      <c r="H86" s="192" t="s">
        <v>289</v>
      </c>
      <c r="I86" s="193" t="s">
        <v>289</v>
      </c>
      <c r="J86" s="6"/>
      <c r="K86" s="6"/>
      <c r="L86" s="148"/>
    </row>
    <row r="87" spans="1:12" ht="22.5" customHeight="1">
      <c r="A87" s="148"/>
      <c r="B87" s="6"/>
      <c r="C87" s="6"/>
      <c r="D87" s="230">
        <v>3</v>
      </c>
      <c r="E87" s="510" t="s">
        <v>94</v>
      </c>
      <c r="F87" s="487"/>
      <c r="G87" s="192" t="s">
        <v>289</v>
      </c>
      <c r="H87" s="192" t="s">
        <v>289</v>
      </c>
      <c r="I87" s="193" t="s">
        <v>289</v>
      </c>
      <c r="J87" s="6"/>
      <c r="K87" s="6"/>
      <c r="L87" s="148"/>
    </row>
    <row r="88" spans="1:12" ht="22.5" customHeight="1">
      <c r="A88" s="148"/>
      <c r="B88" s="6"/>
      <c r="C88" s="6"/>
      <c r="D88" s="289">
        <v>4</v>
      </c>
      <c r="E88" s="570" t="s">
        <v>95</v>
      </c>
      <c r="F88" s="507"/>
      <c r="G88" s="205" t="s">
        <v>289</v>
      </c>
      <c r="H88" s="205" t="s">
        <v>289</v>
      </c>
      <c r="I88" s="206" t="s">
        <v>289</v>
      </c>
      <c r="J88" s="6"/>
      <c r="K88" s="6"/>
      <c r="L88" s="148"/>
    </row>
    <row r="89" spans="1:12" ht="12.5">
      <c r="A89" s="148"/>
      <c r="B89" s="6"/>
      <c r="C89" s="6"/>
      <c r="D89" s="6"/>
      <c r="E89" s="6"/>
      <c r="F89" s="6"/>
      <c r="G89" s="6"/>
      <c r="H89" s="6"/>
      <c r="I89" s="6"/>
      <c r="J89" s="6"/>
      <c r="K89" s="6"/>
      <c r="L89" s="148"/>
    </row>
    <row r="90" spans="1:12" ht="22.5" customHeight="1">
      <c r="A90" s="148"/>
      <c r="B90" s="6"/>
      <c r="C90" s="18"/>
      <c r="D90" s="580" t="s">
        <v>290</v>
      </c>
      <c r="E90" s="437"/>
      <c r="F90" s="6"/>
      <c r="G90" s="6"/>
      <c r="H90" s="6"/>
      <c r="I90" s="6"/>
      <c r="J90" s="6"/>
      <c r="K90" s="6"/>
      <c r="L90" s="148"/>
    </row>
    <row r="91" spans="1:12" ht="12.5">
      <c r="A91" s="148"/>
      <c r="B91" s="6"/>
      <c r="C91" s="6"/>
      <c r="D91" s="6"/>
      <c r="E91" s="6"/>
      <c r="F91" s="6"/>
      <c r="G91" s="6"/>
      <c r="H91" s="6"/>
      <c r="I91" s="6"/>
      <c r="J91" s="6"/>
      <c r="K91" s="6"/>
      <c r="L91" s="148"/>
    </row>
    <row r="92" spans="1:12" ht="22.5" customHeight="1">
      <c r="A92" s="148"/>
      <c r="B92" s="6"/>
      <c r="C92" s="6"/>
      <c r="D92" s="359">
        <v>1</v>
      </c>
      <c r="E92" s="572" t="s">
        <v>97</v>
      </c>
      <c r="F92" s="573"/>
      <c r="G92" s="581" t="s">
        <v>98</v>
      </c>
      <c r="H92" s="582"/>
      <c r="I92" s="583"/>
      <c r="J92" s="6"/>
      <c r="K92" s="6"/>
      <c r="L92" s="148"/>
    </row>
    <row r="93" spans="1:12" ht="22.5" customHeight="1">
      <c r="A93" s="148"/>
      <c r="B93" s="6"/>
      <c r="C93" s="6"/>
      <c r="D93" s="230">
        <v>2</v>
      </c>
      <c r="E93" s="511" t="s">
        <v>99</v>
      </c>
      <c r="F93" s="495"/>
      <c r="G93" s="634" t="s">
        <v>291</v>
      </c>
      <c r="H93" s="635"/>
      <c r="I93" s="636"/>
      <c r="J93" s="6"/>
      <c r="K93" s="6"/>
      <c r="L93" s="148"/>
    </row>
    <row r="94" spans="1:12" ht="22.5" customHeight="1">
      <c r="A94" s="148"/>
      <c r="B94" s="6"/>
      <c r="C94" s="6"/>
      <c r="D94" s="230">
        <v>3</v>
      </c>
      <c r="E94" s="510" t="s">
        <v>101</v>
      </c>
      <c r="F94" s="487"/>
      <c r="G94" s="634" t="s">
        <v>292</v>
      </c>
      <c r="H94" s="635"/>
      <c r="I94" s="636"/>
      <c r="J94" s="6"/>
      <c r="K94" s="6"/>
      <c r="L94" s="148"/>
    </row>
    <row r="95" spans="1:12" ht="22.5" customHeight="1">
      <c r="A95" s="148"/>
      <c r="B95" s="6"/>
      <c r="C95" s="6"/>
      <c r="D95" s="230">
        <v>4</v>
      </c>
      <c r="E95" s="510" t="s">
        <v>102</v>
      </c>
      <c r="F95" s="487"/>
      <c r="G95" s="634" t="s">
        <v>293</v>
      </c>
      <c r="H95" s="635"/>
      <c r="I95" s="636"/>
      <c r="J95" s="6"/>
      <c r="K95" s="6"/>
      <c r="L95" s="148"/>
    </row>
    <row r="96" spans="1:12" ht="22.5" customHeight="1">
      <c r="A96" s="148"/>
      <c r="B96" s="6"/>
      <c r="C96" s="6"/>
      <c r="D96" s="230">
        <v>5</v>
      </c>
      <c r="E96" s="510" t="s">
        <v>103</v>
      </c>
      <c r="F96" s="487"/>
      <c r="G96" s="634" t="s">
        <v>294</v>
      </c>
      <c r="H96" s="635"/>
      <c r="I96" s="636"/>
      <c r="J96" s="6"/>
      <c r="K96" s="6"/>
      <c r="L96" s="148"/>
    </row>
    <row r="97" spans="1:12" ht="22.5" customHeight="1">
      <c r="A97" s="148"/>
      <c r="B97" s="6"/>
      <c r="C97" s="6"/>
      <c r="D97" s="230">
        <v>6</v>
      </c>
      <c r="E97" s="510" t="s">
        <v>104</v>
      </c>
      <c r="F97" s="487"/>
      <c r="G97" s="637"/>
      <c r="H97" s="635"/>
      <c r="I97" s="636"/>
      <c r="J97" s="6"/>
      <c r="K97" s="6"/>
      <c r="L97" s="148"/>
    </row>
    <row r="98" spans="1:12" ht="22.5" customHeight="1">
      <c r="A98" s="148"/>
      <c r="B98" s="6"/>
      <c r="C98" s="6"/>
      <c r="D98" s="230">
        <v>7</v>
      </c>
      <c r="E98" s="510" t="s">
        <v>295</v>
      </c>
      <c r="F98" s="487"/>
      <c r="G98" s="637"/>
      <c r="H98" s="635"/>
      <c r="I98" s="636"/>
      <c r="J98" s="6"/>
      <c r="K98" s="6"/>
      <c r="L98" s="148"/>
    </row>
    <row r="99" spans="1:12" ht="22.5" customHeight="1">
      <c r="A99" s="148"/>
      <c r="B99" s="6"/>
      <c r="C99" s="6"/>
      <c r="D99" s="230">
        <v>8</v>
      </c>
      <c r="E99" s="510" t="s">
        <v>296</v>
      </c>
      <c r="F99" s="487"/>
      <c r="G99" s="637"/>
      <c r="H99" s="635"/>
      <c r="I99" s="636"/>
      <c r="J99" s="6"/>
      <c r="K99" s="6"/>
      <c r="L99" s="148"/>
    </row>
    <row r="100" spans="1:12" ht="22.5" customHeight="1">
      <c r="A100" s="148"/>
      <c r="B100" s="6"/>
      <c r="C100" s="6"/>
      <c r="D100" s="289">
        <v>9</v>
      </c>
      <c r="E100" s="570" t="s">
        <v>297</v>
      </c>
      <c r="F100" s="507"/>
      <c r="G100" s="638"/>
      <c r="H100" s="578"/>
      <c r="I100" s="579"/>
      <c r="J100" s="6"/>
      <c r="K100" s="6"/>
      <c r="L100" s="148"/>
    </row>
    <row r="101" spans="1:12" ht="12.5">
      <c r="A101" s="148"/>
      <c r="B101" s="6"/>
      <c r="C101" s="6"/>
      <c r="D101" s="6"/>
      <c r="E101" s="6"/>
      <c r="F101" s="6"/>
      <c r="G101" s="6"/>
      <c r="H101" s="6"/>
      <c r="I101" s="6"/>
      <c r="J101" s="6"/>
      <c r="K101" s="6"/>
      <c r="L101" s="148"/>
    </row>
    <row r="102" spans="1:12" ht="12.5">
      <c r="A102" s="148"/>
      <c r="B102" s="6"/>
      <c r="C102" s="6"/>
      <c r="D102" s="6"/>
      <c r="E102" s="6"/>
      <c r="F102" s="6"/>
      <c r="G102" s="6"/>
      <c r="H102" s="6"/>
      <c r="I102" s="6"/>
      <c r="J102" s="6"/>
      <c r="K102" s="6"/>
      <c r="L102" s="148"/>
    </row>
    <row r="103" spans="1:12" ht="18.75" customHeight="1">
      <c r="A103" s="148"/>
      <c r="B103" s="148"/>
      <c r="C103" s="148"/>
      <c r="D103" s="148"/>
      <c r="E103" s="148"/>
      <c r="F103" s="148"/>
      <c r="G103" s="148"/>
      <c r="H103" s="148"/>
      <c r="I103" s="148"/>
      <c r="J103" s="148"/>
      <c r="K103" s="148"/>
      <c r="L103" s="148"/>
    </row>
  </sheetData>
  <mergeCells count="95">
    <mergeCell ref="E54:F54"/>
    <mergeCell ref="E55:F55"/>
    <mergeCell ref="E56:F56"/>
    <mergeCell ref="D58:F58"/>
    <mergeCell ref="D49:F49"/>
    <mergeCell ref="E50:F50"/>
    <mergeCell ref="E51:F51"/>
    <mergeCell ref="E52:F52"/>
    <mergeCell ref="E53:F53"/>
    <mergeCell ref="E42:F42"/>
    <mergeCell ref="D44:F44"/>
    <mergeCell ref="E45:F45"/>
    <mergeCell ref="E46:F46"/>
    <mergeCell ref="E47:F47"/>
    <mergeCell ref="E36:F36"/>
    <mergeCell ref="E37:F37"/>
    <mergeCell ref="D39:F39"/>
    <mergeCell ref="E40:F40"/>
    <mergeCell ref="E41:F41"/>
    <mergeCell ref="E31:F31"/>
    <mergeCell ref="E32:F32"/>
    <mergeCell ref="E33:F33"/>
    <mergeCell ref="E34:F34"/>
    <mergeCell ref="E35:F35"/>
    <mergeCell ref="D26:F26"/>
    <mergeCell ref="E27:F27"/>
    <mergeCell ref="E28:F28"/>
    <mergeCell ref="E29:F29"/>
    <mergeCell ref="E30:F30"/>
    <mergeCell ref="E20:F20"/>
    <mergeCell ref="E21:F21"/>
    <mergeCell ref="E22:F22"/>
    <mergeCell ref="E23:F23"/>
    <mergeCell ref="E24:F24"/>
    <mergeCell ref="G95:I95"/>
    <mergeCell ref="C3:C4"/>
    <mergeCell ref="E3:F4"/>
    <mergeCell ref="H3:H4"/>
    <mergeCell ref="I3:J4"/>
    <mergeCell ref="D7:E7"/>
    <mergeCell ref="D9:F9"/>
    <mergeCell ref="E10:F10"/>
    <mergeCell ref="E11:F11"/>
    <mergeCell ref="E12:F12"/>
    <mergeCell ref="D14:F14"/>
    <mergeCell ref="E15:F15"/>
    <mergeCell ref="E16:F16"/>
    <mergeCell ref="E17:F17"/>
    <mergeCell ref="E18:F18"/>
    <mergeCell ref="E19:F19"/>
    <mergeCell ref="G92:I92"/>
    <mergeCell ref="E93:F93"/>
    <mergeCell ref="G93:I93"/>
    <mergeCell ref="E94:F94"/>
    <mergeCell ref="G94:I94"/>
    <mergeCell ref="E97:F97"/>
    <mergeCell ref="E98:F98"/>
    <mergeCell ref="E99:F99"/>
    <mergeCell ref="E100:F100"/>
    <mergeCell ref="G96:I96"/>
    <mergeCell ref="G97:I97"/>
    <mergeCell ref="G98:I98"/>
    <mergeCell ref="G99:I99"/>
    <mergeCell ref="G100:I100"/>
    <mergeCell ref="E87:F87"/>
    <mergeCell ref="E88:F88"/>
    <mergeCell ref="D90:E90"/>
    <mergeCell ref="E95:F95"/>
    <mergeCell ref="E96:F96"/>
    <mergeCell ref="E92:F92"/>
    <mergeCell ref="E81:F81"/>
    <mergeCell ref="E82:F82"/>
    <mergeCell ref="D84:F84"/>
    <mergeCell ref="E85:F85"/>
    <mergeCell ref="E86:F86"/>
    <mergeCell ref="E75:F75"/>
    <mergeCell ref="D77:F77"/>
    <mergeCell ref="E78:F78"/>
    <mergeCell ref="E79:F79"/>
    <mergeCell ref="E80:F80"/>
    <mergeCell ref="E70:F70"/>
    <mergeCell ref="E71:F71"/>
    <mergeCell ref="E72:F72"/>
    <mergeCell ref="E73:F73"/>
    <mergeCell ref="E74:F74"/>
    <mergeCell ref="E64:F64"/>
    <mergeCell ref="E65:F65"/>
    <mergeCell ref="E66:F66"/>
    <mergeCell ref="E67:F67"/>
    <mergeCell ref="D69:F69"/>
    <mergeCell ref="E59:F59"/>
    <mergeCell ref="E60:F60"/>
    <mergeCell ref="E61:F61"/>
    <mergeCell ref="E62:F62"/>
    <mergeCell ref="E63:F6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A86E8"/>
    <outlinePr summaryBelow="0" summaryRight="0"/>
  </sheetPr>
  <dimension ref="A1:L72"/>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20.17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617" t="s">
        <v>133</v>
      </c>
      <c r="D3" s="149"/>
      <c r="E3" s="438"/>
      <c r="F3" s="437"/>
      <c r="G3" s="6"/>
      <c r="H3" s="619" t="s">
        <v>131</v>
      </c>
      <c r="I3" s="588" t="s">
        <v>36</v>
      </c>
      <c r="J3" s="437"/>
      <c r="K3" s="6"/>
      <c r="L3" s="148"/>
    </row>
    <row r="4" spans="1:12" ht="37.5" customHeight="1">
      <c r="A4" s="148"/>
      <c r="B4" s="6"/>
      <c r="C4" s="618"/>
      <c r="D4" s="149"/>
      <c r="E4" s="437"/>
      <c r="F4" s="437"/>
      <c r="G4" s="6"/>
      <c r="H4" s="618"/>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594" t="s">
        <v>139</v>
      </c>
      <c r="E7" s="437"/>
      <c r="F7" s="6"/>
      <c r="G7" s="151" t="s">
        <v>46</v>
      </c>
      <c r="H7" s="151" t="s">
        <v>11</v>
      </c>
      <c r="I7" s="151" t="s">
        <v>47</v>
      </c>
      <c r="J7" s="6"/>
      <c r="K7" s="6"/>
      <c r="L7" s="148"/>
    </row>
    <row r="8" spans="1:12" ht="12.5">
      <c r="A8" s="148"/>
      <c r="B8" s="6"/>
      <c r="C8" s="6"/>
      <c r="J8" s="6"/>
      <c r="K8" s="6"/>
      <c r="L8" s="148"/>
    </row>
    <row r="9" spans="1:12" ht="37.5" customHeight="1">
      <c r="A9" s="148"/>
      <c r="B9" s="6"/>
      <c r="C9" s="6"/>
      <c r="D9" s="539" t="s">
        <v>140</v>
      </c>
      <c r="E9" s="540"/>
      <c r="F9" s="540"/>
      <c r="G9" s="159"/>
      <c r="H9" s="159"/>
      <c r="I9" s="160"/>
      <c r="J9" s="6"/>
      <c r="K9" s="6"/>
      <c r="L9" s="148"/>
    </row>
    <row r="10" spans="1:12" ht="22.5" customHeight="1">
      <c r="A10" s="148"/>
      <c r="B10" s="6"/>
      <c r="C10" s="6"/>
      <c r="D10" s="174">
        <v>1</v>
      </c>
      <c r="E10" s="532" t="s">
        <v>141</v>
      </c>
      <c r="F10" s="533"/>
      <c r="G10" s="175">
        <v>250000</v>
      </c>
      <c r="H10" s="175">
        <v>500000</v>
      </c>
      <c r="I10" s="30">
        <v>1250000</v>
      </c>
      <c r="J10" s="6"/>
      <c r="K10" s="6"/>
      <c r="L10" s="148"/>
    </row>
    <row r="11" spans="1:12" ht="22.5" customHeight="1">
      <c r="A11" s="148"/>
      <c r="B11" s="6"/>
      <c r="C11" s="6"/>
      <c r="D11" s="194">
        <v>2</v>
      </c>
      <c r="E11" s="534" t="s">
        <v>65</v>
      </c>
      <c r="F11" s="499"/>
      <c r="G11" s="195">
        <v>500</v>
      </c>
      <c r="H11" s="195">
        <v>1500</v>
      </c>
      <c r="I11" s="196">
        <v>5000</v>
      </c>
      <c r="J11" s="6"/>
      <c r="K11" s="6"/>
      <c r="L11" s="148"/>
    </row>
    <row r="12" spans="1:12" ht="22.5" customHeight="1">
      <c r="A12" s="148"/>
      <c r="B12" s="6"/>
      <c r="C12" s="6"/>
      <c r="D12" s="207">
        <v>3</v>
      </c>
      <c r="E12" s="535" t="s">
        <v>143</v>
      </c>
      <c r="F12" s="536"/>
      <c r="G12" s="208">
        <v>2</v>
      </c>
      <c r="H12" s="208">
        <v>5</v>
      </c>
      <c r="I12" s="209">
        <v>10</v>
      </c>
      <c r="J12" s="6"/>
      <c r="K12" s="6"/>
      <c r="L12" s="148"/>
    </row>
    <row r="13" spans="1:12" ht="12.5">
      <c r="A13" s="148"/>
      <c r="B13" s="6"/>
      <c r="C13" s="6"/>
      <c r="D13" s="6"/>
      <c r="E13" s="6"/>
      <c r="F13" s="6"/>
      <c r="G13" s="6"/>
      <c r="H13" s="6"/>
      <c r="I13" s="6"/>
      <c r="J13" s="6"/>
      <c r="K13" s="6"/>
      <c r="L13" s="148"/>
    </row>
    <row r="14" spans="1:12" ht="37.5" customHeight="1">
      <c r="A14" s="148"/>
      <c r="B14" s="6"/>
      <c r="C14" s="6"/>
      <c r="D14" s="539" t="s">
        <v>146</v>
      </c>
      <c r="E14" s="540"/>
      <c r="F14" s="540"/>
      <c r="G14" s="159"/>
      <c r="H14" s="159"/>
      <c r="I14" s="160"/>
      <c r="J14" s="6"/>
      <c r="K14" s="6"/>
      <c r="L14" s="148"/>
    </row>
    <row r="15" spans="1:12" ht="22.5" customHeight="1">
      <c r="A15" s="148"/>
      <c r="B15" s="6"/>
      <c r="C15" s="6"/>
      <c r="D15" s="233">
        <v>1</v>
      </c>
      <c r="E15" s="544" t="s">
        <v>153</v>
      </c>
      <c r="F15" s="533"/>
      <c r="G15" s="234" t="b">
        <v>1</v>
      </c>
      <c r="H15" s="234" t="b">
        <v>1</v>
      </c>
      <c r="I15" s="235" t="b">
        <v>1</v>
      </c>
      <c r="J15" s="6"/>
      <c r="K15" s="6"/>
      <c r="L15" s="148"/>
    </row>
    <row r="16" spans="1:12" ht="22.5" customHeight="1">
      <c r="A16" s="148"/>
      <c r="B16" s="6"/>
      <c r="C16" s="6"/>
      <c r="D16" s="233">
        <v>2</v>
      </c>
      <c r="E16" s="498" t="s">
        <v>160</v>
      </c>
      <c r="F16" s="499"/>
      <c r="G16" s="252" t="b">
        <v>1</v>
      </c>
      <c r="H16" s="252" t="b">
        <v>1</v>
      </c>
      <c r="I16" s="253" t="b">
        <v>1</v>
      </c>
      <c r="J16" s="6"/>
      <c r="K16" s="6"/>
      <c r="L16" s="148"/>
    </row>
    <row r="17" spans="1:12" ht="22.5" customHeight="1">
      <c r="A17" s="148"/>
      <c r="B17" s="6"/>
      <c r="C17" s="6"/>
      <c r="D17" s="233">
        <v>3</v>
      </c>
      <c r="E17" s="498" t="s">
        <v>166</v>
      </c>
      <c r="F17" s="499"/>
      <c r="G17" s="252" t="b">
        <v>1</v>
      </c>
      <c r="H17" s="252" t="b">
        <v>1</v>
      </c>
      <c r="I17" s="253" t="b">
        <v>1</v>
      </c>
      <c r="J17" s="6"/>
      <c r="K17" s="6"/>
      <c r="L17" s="148"/>
    </row>
    <row r="18" spans="1:12" ht="22.5" customHeight="1">
      <c r="A18" s="148"/>
      <c r="B18" s="6"/>
      <c r="C18" s="6"/>
      <c r="D18" s="233">
        <v>4</v>
      </c>
      <c r="E18" s="498" t="s">
        <v>173</v>
      </c>
      <c r="F18" s="499"/>
      <c r="G18" s="252" t="b">
        <v>1</v>
      </c>
      <c r="H18" s="252" t="b">
        <v>1</v>
      </c>
      <c r="I18" s="253" t="b">
        <v>1</v>
      </c>
      <c r="J18" s="6"/>
      <c r="K18" s="6"/>
      <c r="L18" s="148"/>
    </row>
    <row r="19" spans="1:12" ht="22.5" customHeight="1">
      <c r="A19" s="148"/>
      <c r="B19" s="6"/>
      <c r="C19" s="6"/>
      <c r="D19" s="270">
        <v>5</v>
      </c>
      <c r="E19" s="554" t="s">
        <v>179</v>
      </c>
      <c r="F19" s="536"/>
      <c r="G19" s="271" t="b">
        <v>1</v>
      </c>
      <c r="H19" s="271" t="b">
        <v>1</v>
      </c>
      <c r="I19" s="272" t="b">
        <v>1</v>
      </c>
      <c r="J19" s="6"/>
      <c r="K19" s="6"/>
      <c r="L19" s="148"/>
    </row>
    <row r="20" spans="1:12" ht="12.5">
      <c r="A20" s="148"/>
      <c r="B20" s="6"/>
      <c r="C20" s="6"/>
      <c r="D20" s="6"/>
      <c r="E20" s="6"/>
      <c r="F20" s="6"/>
      <c r="G20" s="6"/>
      <c r="H20" s="6"/>
      <c r="I20" s="6"/>
      <c r="J20" s="6"/>
      <c r="K20" s="6"/>
      <c r="L20" s="148"/>
    </row>
    <row r="21" spans="1:12" ht="37.5" customHeight="1">
      <c r="A21" s="148"/>
      <c r="B21" s="6"/>
      <c r="C21" s="6"/>
      <c r="D21" s="539" t="s">
        <v>190</v>
      </c>
      <c r="E21" s="540"/>
      <c r="F21" s="540"/>
      <c r="G21" s="159"/>
      <c r="H21" s="159"/>
      <c r="I21" s="160"/>
      <c r="J21" s="6"/>
      <c r="K21" s="6"/>
      <c r="L21" s="148"/>
    </row>
    <row r="22" spans="1:12" ht="22.5" customHeight="1">
      <c r="A22" s="148"/>
      <c r="B22" s="6"/>
      <c r="C22" s="6"/>
      <c r="D22" s="233">
        <v>1</v>
      </c>
      <c r="E22" s="544" t="s">
        <v>197</v>
      </c>
      <c r="F22" s="533"/>
      <c r="G22" s="234" t="b">
        <v>1</v>
      </c>
      <c r="H22" s="234" t="b">
        <v>1</v>
      </c>
      <c r="I22" s="235" t="b">
        <v>1</v>
      </c>
      <c r="J22" s="6"/>
      <c r="K22" s="6"/>
      <c r="L22" s="148"/>
    </row>
    <row r="23" spans="1:12" ht="22.5" customHeight="1">
      <c r="A23" s="148"/>
      <c r="B23" s="6"/>
      <c r="C23" s="6"/>
      <c r="D23" s="233">
        <v>2</v>
      </c>
      <c r="E23" s="498" t="s">
        <v>204</v>
      </c>
      <c r="F23" s="499"/>
      <c r="G23" s="252" t="b">
        <v>1</v>
      </c>
      <c r="H23" s="252" t="b">
        <v>1</v>
      </c>
      <c r="I23" s="253" t="b">
        <v>1</v>
      </c>
      <c r="J23" s="6"/>
      <c r="K23" s="6"/>
      <c r="L23" s="148"/>
    </row>
    <row r="24" spans="1:12" ht="22.5" customHeight="1">
      <c r="A24" s="148"/>
      <c r="B24" s="6"/>
      <c r="C24" s="6"/>
      <c r="D24" s="233">
        <v>3</v>
      </c>
      <c r="E24" s="498" t="s">
        <v>210</v>
      </c>
      <c r="F24" s="499"/>
      <c r="G24" s="252" t="b">
        <v>1</v>
      </c>
      <c r="H24" s="252" t="b">
        <v>1</v>
      </c>
      <c r="I24" s="253" t="b">
        <v>1</v>
      </c>
      <c r="J24" s="6"/>
      <c r="K24" s="6"/>
      <c r="L24" s="148"/>
    </row>
    <row r="25" spans="1:12" ht="22.5" customHeight="1">
      <c r="A25" s="148"/>
      <c r="B25" s="6"/>
      <c r="C25" s="6"/>
      <c r="D25" s="297">
        <v>4</v>
      </c>
      <c r="E25" s="498" t="s">
        <v>215</v>
      </c>
      <c r="F25" s="499"/>
      <c r="G25" s="252" t="b">
        <v>1</v>
      </c>
      <c r="H25" s="252" t="b">
        <v>1</v>
      </c>
      <c r="I25" s="253" t="b">
        <v>1</v>
      </c>
      <c r="J25" s="6"/>
      <c r="K25" s="6"/>
      <c r="L25" s="148"/>
    </row>
    <row r="26" spans="1:12" ht="22.5" customHeight="1">
      <c r="A26" s="148"/>
      <c r="B26" s="6"/>
      <c r="C26" s="6"/>
      <c r="D26" s="233">
        <v>5</v>
      </c>
      <c r="E26" s="498" t="s">
        <v>220</v>
      </c>
      <c r="F26" s="499"/>
      <c r="G26" s="300" t="s">
        <v>58</v>
      </c>
      <c r="H26" s="252" t="b">
        <v>1</v>
      </c>
      <c r="I26" s="253" t="b">
        <v>1</v>
      </c>
      <c r="J26" s="6"/>
      <c r="K26" s="6"/>
      <c r="L26" s="148"/>
    </row>
    <row r="27" spans="1:12" ht="22.5" customHeight="1">
      <c r="A27" s="148"/>
      <c r="B27" s="6"/>
      <c r="C27" s="6"/>
      <c r="D27" s="270">
        <v>6</v>
      </c>
      <c r="E27" s="554" t="s">
        <v>224</v>
      </c>
      <c r="F27" s="536"/>
      <c r="G27" s="304" t="s">
        <v>58</v>
      </c>
      <c r="H27" s="304" t="s">
        <v>58</v>
      </c>
      <c r="I27" s="272" t="b">
        <v>1</v>
      </c>
      <c r="J27" s="6"/>
      <c r="K27" s="6"/>
      <c r="L27" s="148"/>
    </row>
    <row r="28" spans="1:12" ht="12.5">
      <c r="A28" s="148"/>
      <c r="B28" s="6"/>
      <c r="C28" s="6"/>
      <c r="D28" s="6"/>
      <c r="E28" s="6"/>
      <c r="F28" s="6"/>
      <c r="G28" s="6"/>
      <c r="H28" s="6"/>
      <c r="I28" s="6"/>
      <c r="J28" s="6"/>
      <c r="K28" s="6"/>
      <c r="L28" s="148"/>
    </row>
    <row r="29" spans="1:12" ht="37.5" customHeight="1">
      <c r="A29" s="148"/>
      <c r="B29" s="6"/>
      <c r="C29" s="6"/>
      <c r="D29" s="539" t="s">
        <v>29</v>
      </c>
      <c r="E29" s="540"/>
      <c r="F29" s="540"/>
      <c r="G29" s="159"/>
      <c r="H29" s="159"/>
      <c r="I29" s="160"/>
      <c r="J29" s="6"/>
      <c r="K29" s="6"/>
      <c r="L29" s="148"/>
    </row>
    <row r="30" spans="1:12" ht="22.5" customHeight="1">
      <c r="A30" s="148"/>
      <c r="B30" s="6"/>
      <c r="C30" s="6"/>
      <c r="D30" s="233">
        <v>1</v>
      </c>
      <c r="E30" s="544" t="s">
        <v>236</v>
      </c>
      <c r="F30" s="533"/>
      <c r="G30" s="234" t="b">
        <v>1</v>
      </c>
      <c r="H30" s="234" t="b">
        <v>1</v>
      </c>
      <c r="I30" s="235" t="b">
        <v>1</v>
      </c>
      <c r="J30" s="6"/>
      <c r="K30" s="6"/>
      <c r="L30" s="148"/>
    </row>
    <row r="31" spans="1:12" ht="22.5" customHeight="1">
      <c r="A31" s="148"/>
      <c r="B31" s="6"/>
      <c r="C31" s="6"/>
      <c r="D31" s="233">
        <v>2</v>
      </c>
      <c r="E31" s="498" t="s">
        <v>240</v>
      </c>
      <c r="F31" s="499"/>
      <c r="G31" s="252" t="b">
        <v>1</v>
      </c>
      <c r="H31" s="252" t="b">
        <v>1</v>
      </c>
      <c r="I31" s="253" t="b">
        <v>1</v>
      </c>
      <c r="J31" s="6"/>
      <c r="K31" s="6"/>
      <c r="L31" s="148"/>
    </row>
    <row r="32" spans="1:12" ht="22.5" customHeight="1">
      <c r="A32" s="148"/>
      <c r="B32" s="6"/>
      <c r="C32" s="6"/>
      <c r="D32" s="270">
        <v>3</v>
      </c>
      <c r="E32" s="554" t="s">
        <v>245</v>
      </c>
      <c r="F32" s="536"/>
      <c r="G32" s="304" t="s">
        <v>58</v>
      </c>
      <c r="H32" s="271" t="b">
        <v>1</v>
      </c>
      <c r="I32" s="272" t="b">
        <v>1</v>
      </c>
      <c r="J32" s="6"/>
      <c r="K32" s="6"/>
      <c r="L32" s="148"/>
    </row>
    <row r="33" spans="1:12" ht="12.5">
      <c r="A33" s="148"/>
      <c r="B33" s="6"/>
      <c r="C33" s="6"/>
      <c r="D33" s="6"/>
      <c r="E33" s="6"/>
      <c r="F33" s="6"/>
      <c r="G33" s="6"/>
      <c r="H33" s="6"/>
      <c r="I33" s="6"/>
      <c r="J33" s="6"/>
      <c r="K33" s="6"/>
      <c r="L33" s="148"/>
    </row>
    <row r="34" spans="1:12" ht="37.5" customHeight="1">
      <c r="A34" s="148"/>
      <c r="B34" s="6"/>
      <c r="C34" s="6"/>
      <c r="D34" s="539" t="s">
        <v>253</v>
      </c>
      <c r="E34" s="540"/>
      <c r="F34" s="540"/>
      <c r="G34" s="159"/>
      <c r="H34" s="159"/>
      <c r="I34" s="160"/>
      <c r="J34" s="6"/>
      <c r="K34" s="6"/>
      <c r="L34" s="148"/>
    </row>
    <row r="35" spans="1:12" ht="22.5" customHeight="1">
      <c r="A35" s="148"/>
      <c r="B35" s="6"/>
      <c r="C35" s="6"/>
      <c r="D35" s="326">
        <v>1</v>
      </c>
      <c r="E35" s="555" t="s">
        <v>256</v>
      </c>
      <c r="F35" s="533"/>
      <c r="G35" s="327" t="s">
        <v>257</v>
      </c>
      <c r="H35" s="327" t="s">
        <v>258</v>
      </c>
      <c r="I35" s="328" t="s">
        <v>258</v>
      </c>
      <c r="J35" s="6"/>
      <c r="K35" s="6"/>
      <c r="L35" s="148"/>
    </row>
    <row r="36" spans="1:12" ht="22.5" customHeight="1">
      <c r="A36" s="148"/>
      <c r="B36" s="6"/>
      <c r="C36" s="6"/>
      <c r="D36" s="329">
        <v>2</v>
      </c>
      <c r="E36" s="569" t="s">
        <v>261</v>
      </c>
      <c r="F36" s="536"/>
      <c r="G36" s="208" t="s">
        <v>262</v>
      </c>
      <c r="H36" s="208" t="s">
        <v>263</v>
      </c>
      <c r="I36" s="209" t="s">
        <v>263</v>
      </c>
      <c r="J36" s="6"/>
      <c r="K36" s="6"/>
      <c r="L36" s="148"/>
    </row>
    <row r="37" spans="1:12" ht="12.5">
      <c r="A37" s="148"/>
      <c r="B37" s="6"/>
      <c r="C37" s="6"/>
      <c r="D37" s="6"/>
      <c r="E37" s="6"/>
      <c r="F37" s="6"/>
      <c r="G37" s="6"/>
      <c r="H37" s="6"/>
      <c r="I37" s="6"/>
      <c r="J37" s="6"/>
      <c r="K37" s="6"/>
      <c r="L37" s="148"/>
    </row>
    <row r="38" spans="1:12" ht="37.5" customHeight="1">
      <c r="A38" s="148"/>
      <c r="B38" s="6"/>
      <c r="C38" s="6"/>
      <c r="D38" s="539" t="s">
        <v>213</v>
      </c>
      <c r="E38" s="540"/>
      <c r="F38" s="540"/>
      <c r="G38" s="159"/>
      <c r="H38" s="159"/>
      <c r="I38" s="160"/>
      <c r="J38" s="6"/>
      <c r="K38" s="6"/>
      <c r="L38" s="148"/>
    </row>
    <row r="39" spans="1:12" ht="22.5" customHeight="1">
      <c r="A39" s="148"/>
      <c r="B39" s="6"/>
      <c r="C39" s="6"/>
      <c r="D39" s="326">
        <v>1</v>
      </c>
      <c r="E39" s="555" t="s">
        <v>77</v>
      </c>
      <c r="F39" s="533"/>
      <c r="G39" s="234" t="b">
        <v>1</v>
      </c>
      <c r="H39" s="234" t="b">
        <v>1</v>
      </c>
      <c r="I39" s="235" t="b">
        <v>1</v>
      </c>
      <c r="J39" s="6"/>
      <c r="K39" s="6"/>
      <c r="L39" s="148"/>
    </row>
    <row r="40" spans="1:12" ht="22.5" customHeight="1">
      <c r="A40" s="148"/>
      <c r="B40" s="6"/>
      <c r="C40" s="6"/>
      <c r="D40" s="341">
        <v>2</v>
      </c>
      <c r="E40" s="567" t="s">
        <v>79</v>
      </c>
      <c r="F40" s="499"/>
      <c r="G40" s="252" t="b">
        <v>1</v>
      </c>
      <c r="H40" s="252" t="b">
        <v>1</v>
      </c>
      <c r="I40" s="253" t="b">
        <v>1</v>
      </c>
      <c r="J40" s="6"/>
      <c r="K40" s="6"/>
      <c r="L40" s="148"/>
    </row>
    <row r="41" spans="1:12" ht="22.5" customHeight="1">
      <c r="A41" s="148"/>
      <c r="B41" s="6"/>
      <c r="C41" s="6"/>
      <c r="D41" s="341">
        <v>3</v>
      </c>
      <c r="E41" s="567" t="s">
        <v>80</v>
      </c>
      <c r="F41" s="499"/>
      <c r="G41" s="252" t="b">
        <v>1</v>
      </c>
      <c r="H41" s="252" t="b">
        <v>1</v>
      </c>
      <c r="I41" s="253" t="b">
        <v>1</v>
      </c>
      <c r="J41" s="6"/>
      <c r="K41" s="6"/>
      <c r="L41" s="148"/>
    </row>
    <row r="42" spans="1:12" ht="22.5" customHeight="1">
      <c r="A42" s="148"/>
      <c r="B42" s="6"/>
      <c r="C42" s="6"/>
      <c r="D42" s="341">
        <v>4</v>
      </c>
      <c r="E42" s="567" t="s">
        <v>81</v>
      </c>
      <c r="F42" s="499"/>
      <c r="G42" s="300" t="s">
        <v>58</v>
      </c>
      <c r="H42" s="252" t="b">
        <v>1</v>
      </c>
      <c r="I42" s="253" t="b">
        <v>1</v>
      </c>
      <c r="J42" s="6"/>
      <c r="K42" s="6"/>
      <c r="L42" s="148"/>
    </row>
    <row r="43" spans="1:12" ht="22.5" customHeight="1">
      <c r="A43" s="148"/>
      <c r="B43" s="6"/>
      <c r="C43" s="6"/>
      <c r="D43" s="341">
        <v>5</v>
      </c>
      <c r="E43" s="567" t="s">
        <v>82</v>
      </c>
      <c r="F43" s="499"/>
      <c r="G43" s="300" t="s">
        <v>58</v>
      </c>
      <c r="H43" s="252" t="b">
        <v>1</v>
      </c>
      <c r="I43" s="253" t="b">
        <v>1</v>
      </c>
      <c r="J43" s="6"/>
      <c r="K43" s="6"/>
      <c r="L43" s="148"/>
    </row>
    <row r="44" spans="1:12" ht="22.5" customHeight="1">
      <c r="A44" s="148"/>
      <c r="B44" s="6"/>
      <c r="C44" s="6"/>
      <c r="D44" s="329">
        <v>6</v>
      </c>
      <c r="E44" s="569" t="s">
        <v>83</v>
      </c>
      <c r="F44" s="536"/>
      <c r="G44" s="304" t="s">
        <v>58</v>
      </c>
      <c r="H44" s="349" t="s">
        <v>58</v>
      </c>
      <c r="I44" s="272" t="b">
        <v>1</v>
      </c>
      <c r="J44" s="6"/>
      <c r="K44" s="6"/>
      <c r="L44" s="148"/>
    </row>
    <row r="45" spans="1:12" ht="12.5">
      <c r="A45" s="148"/>
      <c r="B45" s="6"/>
      <c r="C45" s="6"/>
      <c r="D45" s="6"/>
      <c r="E45" s="6"/>
      <c r="F45" s="6"/>
      <c r="G45" s="6"/>
      <c r="H45" s="6"/>
      <c r="I45" s="6"/>
      <c r="J45" s="6"/>
      <c r="K45" s="6"/>
      <c r="L45" s="148"/>
    </row>
    <row r="46" spans="1:12" ht="37.5" customHeight="1">
      <c r="A46" s="148"/>
      <c r="B46" s="6"/>
      <c r="C46" s="6"/>
      <c r="D46" s="539" t="s">
        <v>248</v>
      </c>
      <c r="E46" s="540"/>
      <c r="F46" s="540"/>
      <c r="G46" s="159"/>
      <c r="H46" s="159"/>
      <c r="I46" s="160"/>
      <c r="J46" s="6"/>
      <c r="K46" s="6"/>
      <c r="L46" s="148"/>
    </row>
    <row r="47" spans="1:12" ht="22.5" customHeight="1">
      <c r="A47" s="148"/>
      <c r="B47" s="6"/>
      <c r="C47" s="6"/>
      <c r="D47" s="326">
        <v>1</v>
      </c>
      <c r="E47" s="555" t="s">
        <v>86</v>
      </c>
      <c r="F47" s="533"/>
      <c r="G47" s="234" t="b">
        <v>1</v>
      </c>
      <c r="H47" s="234" t="b">
        <v>1</v>
      </c>
      <c r="I47" s="235" t="b">
        <v>1</v>
      </c>
      <c r="J47" s="6"/>
      <c r="K47" s="6"/>
      <c r="L47" s="148"/>
    </row>
    <row r="48" spans="1:12" ht="22.5" customHeight="1">
      <c r="A48" s="148"/>
      <c r="B48" s="6"/>
      <c r="C48" s="6"/>
      <c r="D48" s="341">
        <v>2</v>
      </c>
      <c r="E48" s="567" t="s">
        <v>87</v>
      </c>
      <c r="F48" s="499"/>
      <c r="G48" s="252" t="b">
        <v>1</v>
      </c>
      <c r="H48" s="252" t="b">
        <v>1</v>
      </c>
      <c r="I48" s="253" t="b">
        <v>1</v>
      </c>
      <c r="J48" s="6"/>
      <c r="K48" s="6"/>
      <c r="L48" s="148"/>
    </row>
    <row r="49" spans="1:12" ht="22.5" customHeight="1">
      <c r="A49" s="148"/>
      <c r="B49" s="6"/>
      <c r="C49" s="6"/>
      <c r="D49" s="341">
        <v>3</v>
      </c>
      <c r="E49" s="567" t="s">
        <v>88</v>
      </c>
      <c r="F49" s="499"/>
      <c r="G49" s="252" t="b">
        <v>1</v>
      </c>
      <c r="H49" s="252" t="b">
        <v>1</v>
      </c>
      <c r="I49" s="253" t="b">
        <v>1</v>
      </c>
      <c r="J49" s="6"/>
      <c r="K49" s="6"/>
      <c r="L49" s="148"/>
    </row>
    <row r="50" spans="1:12" ht="22.5" customHeight="1">
      <c r="A50" s="148"/>
      <c r="B50" s="6"/>
      <c r="C50" s="6"/>
      <c r="D50" s="341">
        <v>4</v>
      </c>
      <c r="E50" s="567" t="s">
        <v>89</v>
      </c>
      <c r="F50" s="499"/>
      <c r="G50" s="357" t="s">
        <v>58</v>
      </c>
      <c r="H50" s="252" t="b">
        <v>1</v>
      </c>
      <c r="I50" s="253" t="b">
        <v>1</v>
      </c>
      <c r="J50" s="6"/>
      <c r="K50" s="6"/>
      <c r="L50" s="148"/>
    </row>
    <row r="51" spans="1:12" ht="22.5" customHeight="1">
      <c r="A51" s="148"/>
      <c r="B51" s="6"/>
      <c r="C51" s="6"/>
      <c r="D51" s="329">
        <v>5</v>
      </c>
      <c r="E51" s="569" t="s">
        <v>90</v>
      </c>
      <c r="F51" s="536"/>
      <c r="G51" s="349" t="s">
        <v>58</v>
      </c>
      <c r="H51" s="349" t="s">
        <v>58</v>
      </c>
      <c r="I51" s="272" t="b">
        <v>1</v>
      </c>
      <c r="J51" s="6"/>
      <c r="K51" s="6"/>
      <c r="L51" s="148"/>
    </row>
    <row r="52" spans="1:12" ht="12.5">
      <c r="A52" s="148"/>
      <c r="B52" s="6"/>
      <c r="C52" s="6"/>
      <c r="D52" s="6"/>
      <c r="E52" s="6"/>
      <c r="F52" s="6"/>
      <c r="G52" s="6"/>
      <c r="H52" s="6"/>
      <c r="I52" s="6"/>
      <c r="J52" s="6"/>
      <c r="K52" s="6"/>
      <c r="L52" s="148"/>
    </row>
    <row r="53" spans="1:12" ht="37.5" customHeight="1">
      <c r="A53" s="148"/>
      <c r="B53" s="6"/>
      <c r="C53" s="6"/>
      <c r="D53" s="539" t="s">
        <v>288</v>
      </c>
      <c r="E53" s="540"/>
      <c r="F53" s="540"/>
      <c r="G53" s="159"/>
      <c r="H53" s="159"/>
      <c r="I53" s="160"/>
      <c r="J53" s="6"/>
      <c r="K53" s="6"/>
      <c r="L53" s="148"/>
    </row>
    <row r="54" spans="1:12" ht="22.5" customHeight="1">
      <c r="A54" s="148"/>
      <c r="B54" s="6"/>
      <c r="C54" s="6"/>
      <c r="D54" s="326">
        <v>1</v>
      </c>
      <c r="E54" s="555" t="s">
        <v>92</v>
      </c>
      <c r="F54" s="533"/>
      <c r="G54" s="175">
        <v>5000000</v>
      </c>
      <c r="H54" s="175">
        <v>5000000</v>
      </c>
      <c r="I54" s="30">
        <v>5000000</v>
      </c>
      <c r="J54" s="6"/>
      <c r="K54" s="6"/>
      <c r="L54" s="148"/>
    </row>
    <row r="55" spans="1:12" ht="22.5" customHeight="1">
      <c r="A55" s="148"/>
      <c r="B55" s="6"/>
      <c r="C55" s="6"/>
      <c r="D55" s="341">
        <v>2</v>
      </c>
      <c r="E55" s="567" t="s">
        <v>31</v>
      </c>
      <c r="F55" s="499"/>
      <c r="G55" s="195" t="s">
        <v>289</v>
      </c>
      <c r="H55" s="195" t="s">
        <v>289</v>
      </c>
      <c r="I55" s="196" t="s">
        <v>289</v>
      </c>
      <c r="J55" s="6"/>
      <c r="K55" s="6"/>
      <c r="L55" s="148"/>
    </row>
    <row r="56" spans="1:12" ht="22.5" customHeight="1">
      <c r="A56" s="148"/>
      <c r="B56" s="6"/>
      <c r="C56" s="6"/>
      <c r="D56" s="341">
        <v>3</v>
      </c>
      <c r="E56" s="567" t="s">
        <v>94</v>
      </c>
      <c r="F56" s="499"/>
      <c r="G56" s="195" t="s">
        <v>289</v>
      </c>
      <c r="H56" s="195" t="s">
        <v>289</v>
      </c>
      <c r="I56" s="196" t="s">
        <v>289</v>
      </c>
      <c r="J56" s="6"/>
      <c r="K56" s="6"/>
      <c r="L56" s="148"/>
    </row>
    <row r="57" spans="1:12" ht="22.5" customHeight="1">
      <c r="A57" s="148"/>
      <c r="B57" s="6"/>
      <c r="C57" s="6"/>
      <c r="D57" s="329">
        <v>4</v>
      </c>
      <c r="E57" s="569" t="s">
        <v>95</v>
      </c>
      <c r="F57" s="536"/>
      <c r="G57" s="208" t="s">
        <v>289</v>
      </c>
      <c r="H57" s="208" t="s">
        <v>289</v>
      </c>
      <c r="I57" s="209" t="s">
        <v>289</v>
      </c>
      <c r="J57" s="6"/>
      <c r="K57" s="6"/>
      <c r="L57" s="148"/>
    </row>
    <row r="58" spans="1:12" ht="12.5">
      <c r="A58" s="148"/>
      <c r="B58" s="6"/>
      <c r="C58" s="6"/>
      <c r="D58" s="6"/>
      <c r="E58" s="6"/>
      <c r="F58" s="6"/>
      <c r="G58" s="6"/>
      <c r="H58" s="6"/>
      <c r="I58" s="6"/>
      <c r="J58" s="6"/>
      <c r="K58" s="6"/>
      <c r="L58" s="148"/>
    </row>
    <row r="59" spans="1:12" ht="22.5" customHeight="1">
      <c r="A59" s="148"/>
      <c r="B59" s="6"/>
      <c r="C59" s="18"/>
      <c r="D59" s="594" t="s">
        <v>290</v>
      </c>
      <c r="E59" s="437"/>
      <c r="F59" s="6"/>
      <c r="G59" s="6"/>
      <c r="H59" s="6"/>
      <c r="I59" s="6"/>
      <c r="J59" s="6"/>
      <c r="K59" s="6"/>
      <c r="L59" s="148"/>
    </row>
    <row r="60" spans="1:12" ht="12.5">
      <c r="A60" s="148"/>
      <c r="B60" s="6"/>
      <c r="C60" s="6"/>
      <c r="D60" s="6"/>
      <c r="E60" s="6"/>
      <c r="F60" s="6"/>
      <c r="G60" s="6"/>
      <c r="H60" s="6"/>
      <c r="I60" s="6"/>
      <c r="J60" s="6"/>
      <c r="K60" s="6"/>
      <c r="L60" s="148"/>
    </row>
    <row r="61" spans="1:12" ht="22.5" customHeight="1">
      <c r="A61" s="148"/>
      <c r="B61" s="6"/>
      <c r="C61" s="6"/>
      <c r="D61" s="360">
        <v>1</v>
      </c>
      <c r="E61" s="647" t="s">
        <v>97</v>
      </c>
      <c r="F61" s="648"/>
      <c r="G61" s="639" t="s">
        <v>98</v>
      </c>
      <c r="H61" s="640"/>
      <c r="I61" s="641"/>
      <c r="J61" s="6"/>
      <c r="K61" s="6"/>
      <c r="L61" s="148"/>
    </row>
    <row r="62" spans="1:12" ht="22.5" customHeight="1">
      <c r="A62" s="148"/>
      <c r="B62" s="6"/>
      <c r="C62" s="6"/>
      <c r="D62" s="341">
        <v>2</v>
      </c>
      <c r="E62" s="567" t="s">
        <v>99</v>
      </c>
      <c r="F62" s="499"/>
      <c r="G62" s="646" t="s">
        <v>291</v>
      </c>
      <c r="H62" s="643"/>
      <c r="I62" s="644"/>
      <c r="J62" s="6"/>
      <c r="K62" s="6"/>
      <c r="L62" s="148"/>
    </row>
    <row r="63" spans="1:12" ht="22.5" customHeight="1">
      <c r="A63" s="148"/>
      <c r="B63" s="6"/>
      <c r="C63" s="6"/>
      <c r="D63" s="341">
        <v>3</v>
      </c>
      <c r="E63" s="567" t="s">
        <v>101</v>
      </c>
      <c r="F63" s="499"/>
      <c r="G63" s="646" t="s">
        <v>292</v>
      </c>
      <c r="H63" s="643"/>
      <c r="I63" s="644"/>
      <c r="J63" s="6"/>
      <c r="K63" s="6"/>
      <c r="L63" s="148"/>
    </row>
    <row r="64" spans="1:12" ht="22.5" customHeight="1">
      <c r="A64" s="148"/>
      <c r="B64" s="6"/>
      <c r="C64" s="6"/>
      <c r="D64" s="341">
        <v>4</v>
      </c>
      <c r="E64" s="567" t="s">
        <v>102</v>
      </c>
      <c r="F64" s="499"/>
      <c r="G64" s="646" t="s">
        <v>293</v>
      </c>
      <c r="H64" s="643"/>
      <c r="I64" s="644"/>
      <c r="J64" s="6"/>
      <c r="K64" s="6"/>
      <c r="L64" s="148"/>
    </row>
    <row r="65" spans="1:12" ht="22.5" customHeight="1">
      <c r="A65" s="148"/>
      <c r="B65" s="6"/>
      <c r="C65" s="6"/>
      <c r="D65" s="341">
        <v>5</v>
      </c>
      <c r="E65" s="567" t="s">
        <v>103</v>
      </c>
      <c r="F65" s="499"/>
      <c r="G65" s="646" t="s">
        <v>294</v>
      </c>
      <c r="H65" s="643"/>
      <c r="I65" s="644"/>
      <c r="J65" s="6"/>
      <c r="K65" s="6"/>
      <c r="L65" s="148"/>
    </row>
    <row r="66" spans="1:12" ht="22.5" customHeight="1">
      <c r="A66" s="148"/>
      <c r="B66" s="6"/>
      <c r="C66" s="6"/>
      <c r="D66" s="341">
        <v>6</v>
      </c>
      <c r="E66" s="567" t="s">
        <v>104</v>
      </c>
      <c r="F66" s="499"/>
      <c r="G66" s="642"/>
      <c r="H66" s="643"/>
      <c r="I66" s="644"/>
      <c r="J66" s="6"/>
      <c r="K66" s="6"/>
      <c r="L66" s="148"/>
    </row>
    <row r="67" spans="1:12" ht="22.5" customHeight="1">
      <c r="A67" s="148"/>
      <c r="B67" s="6"/>
      <c r="C67" s="6"/>
      <c r="D67" s="341">
        <v>7</v>
      </c>
      <c r="E67" s="567" t="s">
        <v>295</v>
      </c>
      <c r="F67" s="499"/>
      <c r="G67" s="642"/>
      <c r="H67" s="643"/>
      <c r="I67" s="644"/>
      <c r="J67" s="6"/>
      <c r="K67" s="6"/>
      <c r="L67" s="148"/>
    </row>
    <row r="68" spans="1:12" ht="22.5" customHeight="1">
      <c r="A68" s="148"/>
      <c r="B68" s="6"/>
      <c r="C68" s="6"/>
      <c r="D68" s="341">
        <v>8</v>
      </c>
      <c r="E68" s="567" t="s">
        <v>296</v>
      </c>
      <c r="F68" s="499"/>
      <c r="G68" s="642"/>
      <c r="H68" s="643"/>
      <c r="I68" s="644"/>
      <c r="J68" s="6"/>
      <c r="K68" s="6"/>
      <c r="L68" s="148"/>
    </row>
    <row r="69" spans="1:12" ht="22.5" customHeight="1">
      <c r="A69" s="148"/>
      <c r="B69" s="6"/>
      <c r="C69" s="6"/>
      <c r="D69" s="329">
        <v>9</v>
      </c>
      <c r="E69" s="569" t="s">
        <v>297</v>
      </c>
      <c r="F69" s="536"/>
      <c r="G69" s="645"/>
      <c r="H69" s="586"/>
      <c r="I69" s="587"/>
      <c r="J69" s="6"/>
      <c r="K69" s="6"/>
      <c r="L69" s="148"/>
    </row>
    <row r="70" spans="1:12" ht="12.5">
      <c r="A70" s="148"/>
      <c r="B70" s="6"/>
      <c r="C70" s="6"/>
      <c r="D70" s="6"/>
      <c r="E70" s="6"/>
      <c r="F70" s="6"/>
      <c r="G70" s="6"/>
      <c r="H70" s="6"/>
      <c r="I70" s="6"/>
      <c r="J70" s="6"/>
      <c r="K70" s="6"/>
      <c r="L70" s="148"/>
    </row>
    <row r="71" spans="1:12" ht="12.5">
      <c r="A71" s="148"/>
      <c r="B71" s="6"/>
      <c r="C71" s="6"/>
      <c r="D71" s="6"/>
      <c r="E71" s="6"/>
      <c r="F71" s="6"/>
      <c r="G71" s="6"/>
      <c r="H71" s="6"/>
      <c r="I71" s="6"/>
      <c r="J71" s="6"/>
      <c r="K71" s="6"/>
      <c r="L71" s="148"/>
    </row>
    <row r="72" spans="1:12" ht="18.75" customHeight="1">
      <c r="A72" s="148"/>
      <c r="B72" s="148"/>
      <c r="C72" s="148"/>
      <c r="D72" s="148"/>
      <c r="E72" s="148"/>
      <c r="F72" s="148"/>
      <c r="G72" s="148"/>
      <c r="H72" s="148"/>
      <c r="I72" s="148"/>
      <c r="J72" s="148"/>
      <c r="K72" s="148"/>
      <c r="L72" s="148"/>
    </row>
  </sheetData>
  <mergeCells count="66">
    <mergeCell ref="E50:F50"/>
    <mergeCell ref="E51:F51"/>
    <mergeCell ref="E61:F61"/>
    <mergeCell ref="E62:F62"/>
    <mergeCell ref="E63:F63"/>
    <mergeCell ref="D59:E59"/>
    <mergeCell ref="E44:F44"/>
    <mergeCell ref="D46:F46"/>
    <mergeCell ref="E47:F47"/>
    <mergeCell ref="E48:F48"/>
    <mergeCell ref="E49:F49"/>
    <mergeCell ref="E39:F39"/>
    <mergeCell ref="E40:F40"/>
    <mergeCell ref="E41:F41"/>
    <mergeCell ref="E42:F42"/>
    <mergeCell ref="E43:F43"/>
    <mergeCell ref="E32:F32"/>
    <mergeCell ref="D34:F34"/>
    <mergeCell ref="E35:F35"/>
    <mergeCell ref="E36:F36"/>
    <mergeCell ref="D38:F38"/>
    <mergeCell ref="E26:F26"/>
    <mergeCell ref="E27:F27"/>
    <mergeCell ref="D29:F29"/>
    <mergeCell ref="E30:F30"/>
    <mergeCell ref="E31:F31"/>
    <mergeCell ref="D21:F21"/>
    <mergeCell ref="E22:F22"/>
    <mergeCell ref="E23:F23"/>
    <mergeCell ref="E24:F24"/>
    <mergeCell ref="E25:F25"/>
    <mergeCell ref="E15:F15"/>
    <mergeCell ref="E16:F16"/>
    <mergeCell ref="E17:F17"/>
    <mergeCell ref="E18:F18"/>
    <mergeCell ref="E19:F19"/>
    <mergeCell ref="D9:F9"/>
    <mergeCell ref="E10:F10"/>
    <mergeCell ref="E11:F11"/>
    <mergeCell ref="E12:F12"/>
    <mergeCell ref="D14:F14"/>
    <mergeCell ref="C3:C4"/>
    <mergeCell ref="E3:F4"/>
    <mergeCell ref="H3:H4"/>
    <mergeCell ref="I3:J4"/>
    <mergeCell ref="D7:E7"/>
    <mergeCell ref="E69:F69"/>
    <mergeCell ref="G67:I67"/>
    <mergeCell ref="G68:I68"/>
    <mergeCell ref="G69:I69"/>
    <mergeCell ref="G62:I62"/>
    <mergeCell ref="G63:I63"/>
    <mergeCell ref="E64:F64"/>
    <mergeCell ref="G64:I64"/>
    <mergeCell ref="E65:F65"/>
    <mergeCell ref="G65:I65"/>
    <mergeCell ref="G66:I66"/>
    <mergeCell ref="G61:I61"/>
    <mergeCell ref="E66:F66"/>
    <mergeCell ref="E67:F67"/>
    <mergeCell ref="E68:F68"/>
    <mergeCell ref="D53:F53"/>
    <mergeCell ref="E54:F54"/>
    <mergeCell ref="E55:F55"/>
    <mergeCell ref="E56:F56"/>
    <mergeCell ref="E57:F5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A86E8"/>
    <outlinePr summaryBelow="0" summaryRight="0"/>
  </sheetPr>
  <dimension ref="A1:L70"/>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20.17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589" t="s">
        <v>134</v>
      </c>
      <c r="D3" s="149"/>
      <c r="E3" s="438"/>
      <c r="F3" s="437"/>
      <c r="G3" s="6"/>
      <c r="H3" s="591" t="s">
        <v>131</v>
      </c>
      <c r="I3" s="588" t="s">
        <v>110</v>
      </c>
      <c r="J3" s="437"/>
      <c r="K3" s="6"/>
      <c r="L3" s="148"/>
    </row>
    <row r="4" spans="1:12" ht="37.5" customHeight="1">
      <c r="A4" s="148"/>
      <c r="B4" s="6"/>
      <c r="C4" s="590"/>
      <c r="D4" s="149"/>
      <c r="E4" s="437"/>
      <c r="F4" s="437"/>
      <c r="G4" s="6"/>
      <c r="H4" s="590"/>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595" t="s">
        <v>139</v>
      </c>
      <c r="E7" s="437"/>
      <c r="F7" s="6"/>
      <c r="G7" s="152" t="s">
        <v>46</v>
      </c>
      <c r="H7" s="152" t="s">
        <v>11</v>
      </c>
      <c r="I7" s="152" t="s">
        <v>47</v>
      </c>
      <c r="J7" s="6"/>
      <c r="K7" s="6"/>
      <c r="L7" s="148"/>
    </row>
    <row r="8" spans="1:12" ht="12.5">
      <c r="A8" s="148"/>
      <c r="B8" s="6"/>
      <c r="C8" s="6"/>
      <c r="J8" s="6"/>
      <c r="K8" s="6"/>
      <c r="L8" s="148"/>
    </row>
    <row r="9" spans="1:12" ht="37.5" customHeight="1">
      <c r="A9" s="148"/>
      <c r="B9" s="6"/>
      <c r="C9" s="6"/>
      <c r="D9" s="541" t="s">
        <v>140</v>
      </c>
      <c r="E9" s="542"/>
      <c r="F9" s="542"/>
      <c r="G9" s="161"/>
      <c r="H9" s="161"/>
      <c r="I9" s="162"/>
      <c r="J9" s="6"/>
      <c r="K9" s="6"/>
      <c r="L9" s="148"/>
    </row>
    <row r="10" spans="1:12" ht="22.5" customHeight="1">
      <c r="A10" s="148"/>
      <c r="B10" s="6"/>
      <c r="C10" s="6"/>
      <c r="D10" s="177">
        <v>1</v>
      </c>
      <c r="E10" s="488" t="s">
        <v>141</v>
      </c>
      <c r="F10" s="489"/>
      <c r="G10" s="178">
        <v>250000</v>
      </c>
      <c r="H10" s="178">
        <v>500000</v>
      </c>
      <c r="I10" s="179">
        <v>1250000</v>
      </c>
      <c r="J10" s="6"/>
      <c r="K10" s="6"/>
      <c r="L10" s="148"/>
    </row>
    <row r="11" spans="1:12" ht="22.5" customHeight="1">
      <c r="A11" s="148"/>
      <c r="B11" s="6"/>
      <c r="C11" s="6"/>
      <c r="D11" s="197">
        <v>2</v>
      </c>
      <c r="E11" s="496" t="s">
        <v>65</v>
      </c>
      <c r="F11" s="497"/>
      <c r="G11" s="198"/>
      <c r="H11" s="198"/>
      <c r="I11" s="199"/>
      <c r="J11" s="6"/>
      <c r="K11" s="6"/>
      <c r="L11" s="148"/>
    </row>
    <row r="12" spans="1:12" ht="22.5" customHeight="1">
      <c r="A12" s="148"/>
      <c r="B12" s="6"/>
      <c r="C12" s="6"/>
      <c r="D12" s="210">
        <v>3</v>
      </c>
      <c r="E12" s="537" t="s">
        <v>143</v>
      </c>
      <c r="F12" s="538"/>
      <c r="G12" s="211">
        <v>2</v>
      </c>
      <c r="H12" s="211">
        <v>5</v>
      </c>
      <c r="I12" s="212">
        <v>10</v>
      </c>
      <c r="J12" s="6"/>
      <c r="K12" s="6"/>
      <c r="L12" s="148"/>
    </row>
    <row r="13" spans="1:12" ht="12.5">
      <c r="A13" s="148"/>
      <c r="B13" s="6"/>
      <c r="C13" s="6"/>
      <c r="D13" s="6"/>
      <c r="E13" s="6"/>
      <c r="F13" s="6"/>
      <c r="G13" s="6"/>
      <c r="H13" s="6"/>
      <c r="I13" s="6"/>
      <c r="J13" s="6"/>
      <c r="K13" s="6"/>
      <c r="L13" s="148"/>
    </row>
    <row r="14" spans="1:12" ht="37.5" customHeight="1">
      <c r="A14" s="148"/>
      <c r="B14" s="6"/>
      <c r="C14" s="6"/>
      <c r="D14" s="541" t="s">
        <v>147</v>
      </c>
      <c r="E14" s="542"/>
      <c r="F14" s="542"/>
      <c r="G14" s="161"/>
      <c r="H14" s="161"/>
      <c r="I14" s="162"/>
      <c r="J14" s="6"/>
      <c r="K14" s="6"/>
      <c r="L14" s="148"/>
    </row>
    <row r="15" spans="1:12" ht="22.5" customHeight="1">
      <c r="A15" s="148"/>
      <c r="B15" s="6"/>
      <c r="C15" s="6"/>
      <c r="D15" s="177">
        <v>1</v>
      </c>
      <c r="E15" s="543" t="s">
        <v>154</v>
      </c>
      <c r="F15" s="489"/>
      <c r="G15" s="236" t="b">
        <v>1</v>
      </c>
      <c r="H15" s="236" t="b">
        <v>1</v>
      </c>
      <c r="I15" s="237" t="b">
        <v>1</v>
      </c>
      <c r="J15" s="6"/>
      <c r="K15" s="6"/>
      <c r="L15" s="148"/>
    </row>
    <row r="16" spans="1:12" ht="22.5" customHeight="1">
      <c r="A16" s="148"/>
      <c r="B16" s="6"/>
      <c r="C16" s="6"/>
      <c r="D16" s="197">
        <v>2</v>
      </c>
      <c r="E16" s="522" t="s">
        <v>161</v>
      </c>
      <c r="F16" s="497"/>
      <c r="G16" s="254" t="b">
        <v>1</v>
      </c>
      <c r="H16" s="254" t="b">
        <v>1</v>
      </c>
      <c r="I16" s="255" t="b">
        <v>1</v>
      </c>
      <c r="J16" s="6"/>
      <c r="K16" s="6"/>
      <c r="L16" s="148"/>
    </row>
    <row r="17" spans="1:12" ht="22.5" customHeight="1">
      <c r="A17" s="148"/>
      <c r="B17" s="6"/>
      <c r="C17" s="6"/>
      <c r="D17" s="197">
        <v>3</v>
      </c>
      <c r="E17" s="522" t="s">
        <v>167</v>
      </c>
      <c r="F17" s="497"/>
      <c r="G17" s="254" t="b">
        <v>1</v>
      </c>
      <c r="H17" s="254" t="b">
        <v>1</v>
      </c>
      <c r="I17" s="255" t="b">
        <v>1</v>
      </c>
      <c r="J17" s="6"/>
      <c r="K17" s="6"/>
      <c r="L17" s="148"/>
    </row>
    <row r="18" spans="1:12" ht="22.5" customHeight="1">
      <c r="A18" s="148"/>
      <c r="B18" s="6"/>
      <c r="C18" s="6"/>
      <c r="D18" s="197">
        <v>4</v>
      </c>
      <c r="E18" s="522" t="s">
        <v>174</v>
      </c>
      <c r="F18" s="497"/>
      <c r="G18" s="254" t="b">
        <v>1</v>
      </c>
      <c r="H18" s="254" t="b">
        <v>1</v>
      </c>
      <c r="I18" s="255" t="b">
        <v>1</v>
      </c>
      <c r="J18" s="6"/>
      <c r="K18" s="6"/>
      <c r="L18" s="148"/>
    </row>
    <row r="19" spans="1:12" ht="22.5" customHeight="1">
      <c r="A19" s="148"/>
      <c r="B19" s="6"/>
      <c r="C19" s="6"/>
      <c r="D19" s="197">
        <v>5</v>
      </c>
      <c r="E19" s="522" t="s">
        <v>180</v>
      </c>
      <c r="F19" s="497"/>
      <c r="G19" s="254" t="b">
        <v>1</v>
      </c>
      <c r="H19" s="254" t="b">
        <v>1</v>
      </c>
      <c r="I19" s="255" t="b">
        <v>1</v>
      </c>
      <c r="J19" s="6"/>
      <c r="K19" s="6"/>
      <c r="L19" s="148"/>
    </row>
    <row r="20" spans="1:12" ht="22.5" customHeight="1">
      <c r="A20" s="148"/>
      <c r="B20" s="6"/>
      <c r="C20" s="6"/>
      <c r="D20" s="197">
        <v>6</v>
      </c>
      <c r="E20" s="522" t="s">
        <v>186</v>
      </c>
      <c r="F20" s="497"/>
      <c r="G20" s="254" t="b">
        <v>1</v>
      </c>
      <c r="H20" s="254" t="b">
        <v>1</v>
      </c>
      <c r="I20" s="255" t="b">
        <v>1</v>
      </c>
      <c r="J20" s="6"/>
      <c r="K20" s="6"/>
      <c r="L20" s="148"/>
    </row>
    <row r="21" spans="1:12" ht="22.5" customHeight="1">
      <c r="A21" s="148"/>
      <c r="B21" s="6"/>
      <c r="C21" s="6"/>
      <c r="D21" s="197">
        <v>7</v>
      </c>
      <c r="E21" s="522" t="s">
        <v>191</v>
      </c>
      <c r="F21" s="497"/>
      <c r="G21" s="254" t="b">
        <v>1</v>
      </c>
      <c r="H21" s="254" t="b">
        <v>1</v>
      </c>
      <c r="I21" s="255" t="b">
        <v>1</v>
      </c>
      <c r="J21" s="6"/>
      <c r="K21" s="6"/>
      <c r="L21" s="148"/>
    </row>
    <row r="22" spans="1:12" ht="22.5" customHeight="1">
      <c r="A22" s="148"/>
      <c r="B22" s="6"/>
      <c r="C22" s="6"/>
      <c r="D22" s="197">
        <v>8</v>
      </c>
      <c r="E22" s="522" t="s">
        <v>198</v>
      </c>
      <c r="F22" s="497"/>
      <c r="G22" s="254" t="b">
        <v>1</v>
      </c>
      <c r="H22" s="254" t="b">
        <v>1</v>
      </c>
      <c r="I22" s="255" t="b">
        <v>1</v>
      </c>
      <c r="J22" s="6"/>
      <c r="K22" s="6"/>
      <c r="L22" s="148"/>
    </row>
    <row r="23" spans="1:12" ht="22.5" customHeight="1">
      <c r="A23" s="148"/>
      <c r="B23" s="6"/>
      <c r="C23" s="6"/>
      <c r="D23" s="210">
        <v>9</v>
      </c>
      <c r="E23" s="556" t="s">
        <v>205</v>
      </c>
      <c r="F23" s="538"/>
      <c r="G23" s="285" t="b">
        <v>1</v>
      </c>
      <c r="H23" s="285" t="b">
        <v>1</v>
      </c>
      <c r="I23" s="286" t="b">
        <v>1</v>
      </c>
      <c r="J23" s="6"/>
      <c r="K23" s="6"/>
      <c r="L23" s="148"/>
    </row>
    <row r="24" spans="1:12" ht="12.5">
      <c r="A24" s="148"/>
      <c r="B24" s="6"/>
      <c r="C24" s="6"/>
      <c r="D24" s="6"/>
      <c r="E24" s="6"/>
      <c r="F24" s="6"/>
      <c r="G24" s="6"/>
      <c r="H24" s="6"/>
      <c r="I24" s="6"/>
      <c r="J24" s="6"/>
      <c r="K24" s="6"/>
      <c r="L24" s="148"/>
    </row>
    <row r="25" spans="1:12" ht="37.5" customHeight="1">
      <c r="A25" s="148"/>
      <c r="B25" s="6"/>
      <c r="C25" s="6"/>
      <c r="D25" s="541" t="s">
        <v>216</v>
      </c>
      <c r="E25" s="542"/>
      <c r="F25" s="542"/>
      <c r="G25" s="161"/>
      <c r="H25" s="161"/>
      <c r="I25" s="162"/>
      <c r="J25" s="6"/>
      <c r="K25" s="6"/>
      <c r="L25" s="148"/>
    </row>
    <row r="26" spans="1:12" ht="22.5" customHeight="1">
      <c r="A26" s="148"/>
      <c r="B26" s="6"/>
      <c r="C26" s="6"/>
      <c r="D26" s="177">
        <v>1</v>
      </c>
      <c r="E26" s="543" t="s">
        <v>221</v>
      </c>
      <c r="F26" s="489"/>
      <c r="G26" s="236" t="b">
        <v>1</v>
      </c>
      <c r="H26" s="236" t="b">
        <v>1</v>
      </c>
      <c r="I26" s="237" t="b">
        <v>1</v>
      </c>
      <c r="J26" s="6"/>
      <c r="K26" s="6"/>
      <c r="L26" s="148"/>
    </row>
    <row r="27" spans="1:12" ht="22.5" customHeight="1">
      <c r="A27" s="148"/>
      <c r="B27" s="6"/>
      <c r="C27" s="6"/>
      <c r="D27" s="197">
        <v>2</v>
      </c>
      <c r="E27" s="522" t="s">
        <v>225</v>
      </c>
      <c r="F27" s="497"/>
      <c r="G27" s="254" t="b">
        <v>1</v>
      </c>
      <c r="H27" s="254" t="b">
        <v>1</v>
      </c>
      <c r="I27" s="255" t="b">
        <v>1</v>
      </c>
      <c r="J27" s="6"/>
      <c r="K27" s="6"/>
      <c r="L27" s="148"/>
    </row>
    <row r="28" spans="1:12" ht="22.5" customHeight="1">
      <c r="A28" s="148"/>
      <c r="B28" s="6"/>
      <c r="C28" s="6"/>
      <c r="D28" s="197">
        <v>3</v>
      </c>
      <c r="E28" s="522" t="s">
        <v>229</v>
      </c>
      <c r="F28" s="497"/>
      <c r="G28" s="254" t="b">
        <v>1</v>
      </c>
      <c r="H28" s="254" t="b">
        <v>1</v>
      </c>
      <c r="I28" s="255" t="b">
        <v>1</v>
      </c>
      <c r="J28" s="6"/>
      <c r="K28" s="6"/>
      <c r="L28" s="148"/>
    </row>
    <row r="29" spans="1:12" ht="22.5" customHeight="1">
      <c r="A29" s="148"/>
      <c r="B29" s="6"/>
      <c r="C29" s="6"/>
      <c r="D29" s="210">
        <v>4</v>
      </c>
      <c r="E29" s="556" t="s">
        <v>232</v>
      </c>
      <c r="F29" s="538"/>
      <c r="G29" s="285" t="b">
        <v>1</v>
      </c>
      <c r="H29" s="285" t="b">
        <v>1</v>
      </c>
      <c r="I29" s="286" t="b">
        <v>1</v>
      </c>
      <c r="J29" s="6"/>
      <c r="K29" s="6"/>
      <c r="L29" s="148"/>
    </row>
    <row r="30" spans="1:12" ht="12.5">
      <c r="A30" s="148"/>
      <c r="B30" s="6"/>
      <c r="C30" s="6"/>
      <c r="D30" s="6"/>
      <c r="E30" s="6"/>
      <c r="F30" s="6"/>
      <c r="G30" s="6"/>
      <c r="H30" s="6"/>
      <c r="I30" s="6"/>
      <c r="J30" s="6"/>
      <c r="K30" s="6"/>
      <c r="L30" s="148"/>
    </row>
    <row r="31" spans="1:12" ht="37.5" customHeight="1">
      <c r="A31" s="148"/>
      <c r="B31" s="6"/>
      <c r="C31" s="6"/>
      <c r="D31" s="541" t="s">
        <v>241</v>
      </c>
      <c r="E31" s="542"/>
      <c r="F31" s="542"/>
      <c r="G31" s="161"/>
      <c r="H31" s="161"/>
      <c r="I31" s="162"/>
      <c r="J31" s="6"/>
      <c r="K31" s="6"/>
      <c r="L31" s="148"/>
    </row>
    <row r="32" spans="1:12" ht="22.5" customHeight="1">
      <c r="A32" s="148"/>
      <c r="B32" s="6"/>
      <c r="C32" s="6"/>
      <c r="D32" s="177">
        <v>1</v>
      </c>
      <c r="E32" s="543" t="s">
        <v>246</v>
      </c>
      <c r="F32" s="489"/>
      <c r="G32" s="236" t="b">
        <v>1</v>
      </c>
      <c r="H32" s="236" t="b">
        <v>1</v>
      </c>
      <c r="I32" s="237" t="b">
        <v>1</v>
      </c>
      <c r="J32" s="6"/>
      <c r="K32" s="6"/>
      <c r="L32" s="148"/>
    </row>
    <row r="33" spans="1:12" ht="22.5" customHeight="1">
      <c r="A33" s="148"/>
      <c r="B33" s="6"/>
      <c r="C33" s="6"/>
      <c r="D33" s="197">
        <v>2</v>
      </c>
      <c r="E33" s="522" t="s">
        <v>250</v>
      </c>
      <c r="F33" s="497"/>
      <c r="G33" s="254" t="b">
        <v>1</v>
      </c>
      <c r="H33" s="254" t="b">
        <v>1</v>
      </c>
      <c r="I33" s="255" t="b">
        <v>1</v>
      </c>
      <c r="J33" s="6"/>
      <c r="K33" s="6"/>
      <c r="L33" s="148"/>
    </row>
    <row r="34" spans="1:12" ht="22.5" customHeight="1">
      <c r="A34" s="148"/>
      <c r="B34" s="6"/>
      <c r="C34" s="6"/>
      <c r="D34" s="210">
        <v>3</v>
      </c>
      <c r="E34" s="556" t="s">
        <v>234</v>
      </c>
      <c r="F34" s="538"/>
      <c r="G34" s="285" t="b">
        <v>1</v>
      </c>
      <c r="H34" s="285" t="b">
        <v>1</v>
      </c>
      <c r="I34" s="286" t="b">
        <v>1</v>
      </c>
      <c r="J34" s="6"/>
      <c r="K34" s="6"/>
      <c r="L34" s="148"/>
    </row>
    <row r="35" spans="1:12" ht="12.5">
      <c r="A35" s="148"/>
      <c r="B35" s="6"/>
      <c r="C35" s="6"/>
      <c r="D35" s="6"/>
      <c r="E35" s="6"/>
      <c r="F35" s="6"/>
      <c r="G35" s="6"/>
      <c r="H35" s="6"/>
      <c r="I35" s="6"/>
      <c r="J35" s="6"/>
      <c r="K35" s="6"/>
      <c r="L35" s="148"/>
    </row>
    <row r="36" spans="1:12" ht="37.5" customHeight="1">
      <c r="A36" s="148"/>
      <c r="B36" s="6"/>
      <c r="C36" s="6"/>
      <c r="D36" s="541" t="s">
        <v>213</v>
      </c>
      <c r="E36" s="542"/>
      <c r="F36" s="542"/>
      <c r="G36" s="330"/>
      <c r="H36" s="330"/>
      <c r="I36" s="331"/>
      <c r="J36" s="6"/>
      <c r="K36" s="6"/>
      <c r="L36" s="148"/>
    </row>
    <row r="37" spans="1:12" ht="22.5" customHeight="1">
      <c r="A37" s="148"/>
      <c r="B37" s="6"/>
      <c r="C37" s="6"/>
      <c r="D37" s="177">
        <v>1</v>
      </c>
      <c r="E37" s="543" t="s">
        <v>77</v>
      </c>
      <c r="F37" s="489"/>
      <c r="G37" s="236" t="b">
        <v>1</v>
      </c>
      <c r="H37" s="236" t="b">
        <v>1</v>
      </c>
      <c r="I37" s="237" t="b">
        <v>1</v>
      </c>
      <c r="J37" s="6"/>
      <c r="K37" s="6"/>
      <c r="L37" s="148"/>
    </row>
    <row r="38" spans="1:12" ht="22.5" customHeight="1">
      <c r="A38" s="148"/>
      <c r="B38" s="6"/>
      <c r="C38" s="6"/>
      <c r="D38" s="197">
        <v>2</v>
      </c>
      <c r="E38" s="522" t="s">
        <v>79</v>
      </c>
      <c r="F38" s="497"/>
      <c r="G38" s="254" t="b">
        <v>1</v>
      </c>
      <c r="H38" s="254" t="b">
        <v>1</v>
      </c>
      <c r="I38" s="255" t="b">
        <v>1</v>
      </c>
      <c r="J38" s="6"/>
      <c r="K38" s="6"/>
      <c r="L38" s="148"/>
    </row>
    <row r="39" spans="1:12" ht="22.5" customHeight="1">
      <c r="A39" s="148"/>
      <c r="B39" s="6"/>
      <c r="C39" s="6"/>
      <c r="D39" s="197">
        <v>3</v>
      </c>
      <c r="E39" s="522" t="s">
        <v>80</v>
      </c>
      <c r="F39" s="497"/>
      <c r="G39" s="254" t="b">
        <v>1</v>
      </c>
      <c r="H39" s="254" t="b">
        <v>1</v>
      </c>
      <c r="I39" s="255" t="b">
        <v>1</v>
      </c>
      <c r="J39" s="6"/>
      <c r="K39" s="6"/>
      <c r="L39" s="148"/>
    </row>
    <row r="40" spans="1:12" ht="22.5" customHeight="1">
      <c r="A40" s="148"/>
      <c r="B40" s="6"/>
      <c r="C40" s="6"/>
      <c r="D40" s="197">
        <v>4</v>
      </c>
      <c r="E40" s="522" t="s">
        <v>81</v>
      </c>
      <c r="F40" s="497"/>
      <c r="G40" s="342" t="s">
        <v>58</v>
      </c>
      <c r="H40" s="254" t="b">
        <v>1</v>
      </c>
      <c r="I40" s="255" t="b">
        <v>1</v>
      </c>
      <c r="J40" s="6"/>
      <c r="K40" s="6"/>
      <c r="L40" s="148"/>
    </row>
    <row r="41" spans="1:12" ht="22.5" customHeight="1">
      <c r="A41" s="148"/>
      <c r="B41" s="6"/>
      <c r="C41" s="6"/>
      <c r="D41" s="197">
        <v>5</v>
      </c>
      <c r="E41" s="522" t="s">
        <v>82</v>
      </c>
      <c r="F41" s="497"/>
      <c r="G41" s="342" t="s">
        <v>58</v>
      </c>
      <c r="H41" s="254" t="b">
        <v>1</v>
      </c>
      <c r="I41" s="255" t="b">
        <v>1</v>
      </c>
      <c r="J41" s="6"/>
      <c r="K41" s="6"/>
      <c r="L41" s="148"/>
    </row>
    <row r="42" spans="1:12" ht="22.5" customHeight="1">
      <c r="A42" s="148"/>
      <c r="B42" s="6"/>
      <c r="C42" s="6"/>
      <c r="D42" s="210">
        <v>6</v>
      </c>
      <c r="E42" s="556" t="s">
        <v>83</v>
      </c>
      <c r="F42" s="538"/>
      <c r="G42" s="345" t="s">
        <v>58</v>
      </c>
      <c r="H42" s="345" t="s">
        <v>58</v>
      </c>
      <c r="I42" s="286" t="b">
        <v>1</v>
      </c>
      <c r="J42" s="6"/>
      <c r="K42" s="6"/>
      <c r="L42" s="148"/>
    </row>
    <row r="43" spans="1:12" ht="12.5">
      <c r="A43" s="148"/>
      <c r="B43" s="6"/>
      <c r="C43" s="6"/>
      <c r="D43" s="6"/>
      <c r="E43" s="6"/>
      <c r="F43" s="6"/>
      <c r="G43" s="348"/>
      <c r="H43" s="348"/>
      <c r="I43" s="348"/>
      <c r="J43" s="6"/>
      <c r="K43" s="6"/>
      <c r="L43" s="148"/>
    </row>
    <row r="44" spans="1:12" ht="37.5" customHeight="1">
      <c r="A44" s="148"/>
      <c r="B44" s="6"/>
      <c r="C44" s="6"/>
      <c r="D44" s="541" t="s">
        <v>248</v>
      </c>
      <c r="E44" s="542"/>
      <c r="F44" s="542"/>
      <c r="G44" s="330"/>
      <c r="H44" s="330"/>
      <c r="I44" s="331"/>
      <c r="J44" s="6"/>
      <c r="K44" s="6"/>
      <c r="L44" s="148"/>
    </row>
    <row r="45" spans="1:12" ht="22.5" customHeight="1">
      <c r="A45" s="148"/>
      <c r="B45" s="6"/>
      <c r="C45" s="6"/>
      <c r="D45" s="177">
        <v>1</v>
      </c>
      <c r="E45" s="543" t="s">
        <v>86</v>
      </c>
      <c r="F45" s="489"/>
      <c r="G45" s="236" t="b">
        <v>1</v>
      </c>
      <c r="H45" s="236" t="b">
        <v>1</v>
      </c>
      <c r="I45" s="237" t="b">
        <v>1</v>
      </c>
      <c r="J45" s="6"/>
      <c r="K45" s="6"/>
      <c r="L45" s="148"/>
    </row>
    <row r="46" spans="1:12" ht="22.5" customHeight="1">
      <c r="A46" s="148"/>
      <c r="B46" s="6"/>
      <c r="C46" s="6"/>
      <c r="D46" s="197">
        <v>2</v>
      </c>
      <c r="E46" s="522" t="s">
        <v>87</v>
      </c>
      <c r="F46" s="497"/>
      <c r="G46" s="254" t="b">
        <v>1</v>
      </c>
      <c r="H46" s="254" t="b">
        <v>1</v>
      </c>
      <c r="I46" s="255" t="b">
        <v>1</v>
      </c>
      <c r="J46" s="6"/>
      <c r="K46" s="6"/>
      <c r="L46" s="148"/>
    </row>
    <row r="47" spans="1:12" ht="22.5" customHeight="1">
      <c r="A47" s="148"/>
      <c r="B47" s="6"/>
      <c r="C47" s="6"/>
      <c r="D47" s="197">
        <v>3</v>
      </c>
      <c r="E47" s="522" t="s">
        <v>88</v>
      </c>
      <c r="F47" s="497"/>
      <c r="G47" s="254" t="b">
        <v>1</v>
      </c>
      <c r="H47" s="254" t="b">
        <v>1</v>
      </c>
      <c r="I47" s="255" t="b">
        <v>1</v>
      </c>
      <c r="J47" s="6"/>
      <c r="K47" s="6"/>
      <c r="L47" s="148"/>
    </row>
    <row r="48" spans="1:12" ht="22.5" customHeight="1">
      <c r="A48" s="148"/>
      <c r="B48" s="6"/>
      <c r="C48" s="6"/>
      <c r="D48" s="197">
        <v>4</v>
      </c>
      <c r="E48" s="522" t="s">
        <v>89</v>
      </c>
      <c r="F48" s="497"/>
      <c r="G48" s="342" t="s">
        <v>58</v>
      </c>
      <c r="H48" s="254" t="b">
        <v>1</v>
      </c>
      <c r="I48" s="255" t="b">
        <v>1</v>
      </c>
      <c r="J48" s="6"/>
      <c r="K48" s="6"/>
      <c r="L48" s="148"/>
    </row>
    <row r="49" spans="1:12" ht="22.5" customHeight="1">
      <c r="A49" s="148"/>
      <c r="B49" s="6"/>
      <c r="C49" s="6"/>
      <c r="D49" s="210">
        <v>5</v>
      </c>
      <c r="E49" s="556" t="s">
        <v>90</v>
      </c>
      <c r="F49" s="538"/>
      <c r="G49" s="345" t="s">
        <v>58</v>
      </c>
      <c r="H49" s="345" t="s">
        <v>58</v>
      </c>
      <c r="I49" s="286" t="b">
        <v>1</v>
      </c>
      <c r="J49" s="6"/>
      <c r="K49" s="6"/>
      <c r="L49" s="148"/>
    </row>
    <row r="50" spans="1:12" ht="12.5">
      <c r="A50" s="148"/>
      <c r="B50" s="6"/>
      <c r="C50" s="6"/>
      <c r="D50" s="6"/>
      <c r="E50" s="6"/>
      <c r="F50" s="6"/>
      <c r="G50" s="6"/>
      <c r="H50" s="6"/>
      <c r="I50" s="6"/>
      <c r="J50" s="6"/>
      <c r="K50" s="6"/>
      <c r="L50" s="148"/>
    </row>
    <row r="51" spans="1:12" ht="37.5" customHeight="1">
      <c r="A51" s="148"/>
      <c r="B51" s="6"/>
      <c r="C51" s="6"/>
      <c r="D51" s="541" t="s">
        <v>288</v>
      </c>
      <c r="E51" s="542"/>
      <c r="F51" s="542"/>
      <c r="G51" s="161"/>
      <c r="H51" s="161"/>
      <c r="I51" s="162"/>
      <c r="J51" s="6"/>
      <c r="K51" s="6"/>
      <c r="L51" s="148"/>
    </row>
    <row r="52" spans="1:12" ht="22.5" customHeight="1">
      <c r="A52" s="148"/>
      <c r="B52" s="6"/>
      <c r="C52" s="6"/>
      <c r="D52" s="177">
        <v>1</v>
      </c>
      <c r="E52" s="543" t="s">
        <v>92</v>
      </c>
      <c r="F52" s="489"/>
      <c r="G52" s="178">
        <v>5000000</v>
      </c>
      <c r="H52" s="178">
        <v>5000000</v>
      </c>
      <c r="I52" s="179">
        <v>5000000</v>
      </c>
      <c r="J52" s="6"/>
      <c r="K52" s="6"/>
      <c r="L52" s="148"/>
    </row>
    <row r="53" spans="1:12" ht="22.5" customHeight="1">
      <c r="A53" s="148"/>
      <c r="B53" s="6"/>
      <c r="C53" s="6"/>
      <c r="D53" s="197">
        <v>2</v>
      </c>
      <c r="E53" s="522" t="s">
        <v>31</v>
      </c>
      <c r="F53" s="497"/>
      <c r="G53" s="361" t="s">
        <v>289</v>
      </c>
      <c r="H53" s="361" t="s">
        <v>289</v>
      </c>
      <c r="I53" s="362" t="s">
        <v>289</v>
      </c>
      <c r="J53" s="6"/>
      <c r="K53" s="6"/>
      <c r="L53" s="148"/>
    </row>
    <row r="54" spans="1:12" ht="22.5" customHeight="1">
      <c r="A54" s="148"/>
      <c r="B54" s="6"/>
      <c r="C54" s="6"/>
      <c r="D54" s="197">
        <v>3</v>
      </c>
      <c r="E54" s="522" t="s">
        <v>94</v>
      </c>
      <c r="F54" s="497"/>
      <c r="G54" s="361" t="s">
        <v>289</v>
      </c>
      <c r="H54" s="361" t="s">
        <v>289</v>
      </c>
      <c r="I54" s="362" t="s">
        <v>289</v>
      </c>
      <c r="J54" s="6"/>
      <c r="K54" s="6"/>
      <c r="L54" s="148"/>
    </row>
    <row r="55" spans="1:12" ht="22.5" customHeight="1">
      <c r="A55" s="148"/>
      <c r="B55" s="6"/>
      <c r="C55" s="6"/>
      <c r="D55" s="210">
        <v>4</v>
      </c>
      <c r="E55" s="556" t="s">
        <v>95</v>
      </c>
      <c r="F55" s="538"/>
      <c r="G55" s="211" t="s">
        <v>289</v>
      </c>
      <c r="H55" s="211" t="s">
        <v>289</v>
      </c>
      <c r="I55" s="212" t="s">
        <v>289</v>
      </c>
      <c r="J55" s="6"/>
      <c r="K55" s="6"/>
      <c r="L55" s="148"/>
    </row>
    <row r="56" spans="1:12" ht="12.5">
      <c r="A56" s="148"/>
      <c r="B56" s="6"/>
      <c r="C56" s="6"/>
      <c r="D56" s="6"/>
      <c r="E56" s="6"/>
      <c r="F56" s="6"/>
      <c r="G56" s="6"/>
      <c r="H56" s="6"/>
      <c r="I56" s="6"/>
      <c r="J56" s="6"/>
      <c r="K56" s="6"/>
      <c r="L56" s="148"/>
    </row>
    <row r="57" spans="1:12" ht="22.5" customHeight="1">
      <c r="A57" s="148"/>
      <c r="B57" s="6"/>
      <c r="C57" s="18"/>
      <c r="D57" s="595" t="s">
        <v>290</v>
      </c>
      <c r="E57" s="437"/>
      <c r="F57" s="6"/>
      <c r="G57" s="6"/>
      <c r="H57" s="6"/>
      <c r="I57" s="6"/>
      <c r="J57" s="6"/>
      <c r="K57" s="6"/>
      <c r="L57" s="148"/>
    </row>
    <row r="58" spans="1:12" ht="18.75" customHeight="1">
      <c r="A58" s="148"/>
      <c r="B58" s="6"/>
      <c r="C58" s="6"/>
      <c r="D58" s="6"/>
      <c r="E58" s="6"/>
      <c r="F58" s="6"/>
      <c r="G58" s="6"/>
      <c r="H58" s="6"/>
      <c r="I58" s="6"/>
      <c r="J58" s="6"/>
      <c r="K58" s="6"/>
      <c r="L58" s="148"/>
    </row>
    <row r="59" spans="1:12" ht="22.5" customHeight="1">
      <c r="A59" s="148"/>
      <c r="B59" s="6"/>
      <c r="C59" s="6"/>
      <c r="D59" s="363">
        <v>1</v>
      </c>
      <c r="E59" s="654" t="s">
        <v>97</v>
      </c>
      <c r="F59" s="655"/>
      <c r="G59" s="656" t="s">
        <v>98</v>
      </c>
      <c r="H59" s="657"/>
      <c r="I59" s="658"/>
      <c r="J59" s="6"/>
      <c r="K59" s="6"/>
      <c r="L59" s="148"/>
    </row>
    <row r="60" spans="1:12" ht="22.5" customHeight="1">
      <c r="A60" s="148"/>
      <c r="B60" s="6"/>
      <c r="C60" s="6"/>
      <c r="D60" s="197">
        <v>2</v>
      </c>
      <c r="E60" s="522" t="s">
        <v>99</v>
      </c>
      <c r="F60" s="497"/>
      <c r="G60" s="653" t="s">
        <v>291</v>
      </c>
      <c r="H60" s="650"/>
      <c r="I60" s="651"/>
      <c r="J60" s="6"/>
      <c r="K60" s="6"/>
      <c r="L60" s="148"/>
    </row>
    <row r="61" spans="1:12" ht="22.5" customHeight="1">
      <c r="A61" s="148"/>
      <c r="B61" s="6"/>
      <c r="C61" s="6"/>
      <c r="D61" s="197">
        <v>3</v>
      </c>
      <c r="E61" s="522" t="s">
        <v>101</v>
      </c>
      <c r="F61" s="497"/>
      <c r="G61" s="653" t="s">
        <v>292</v>
      </c>
      <c r="H61" s="650"/>
      <c r="I61" s="651"/>
      <c r="J61" s="6"/>
      <c r="K61" s="6"/>
      <c r="L61" s="148"/>
    </row>
    <row r="62" spans="1:12" ht="22.5" customHeight="1">
      <c r="A62" s="148"/>
      <c r="B62" s="6"/>
      <c r="C62" s="6"/>
      <c r="D62" s="197">
        <v>4</v>
      </c>
      <c r="E62" s="522" t="s">
        <v>102</v>
      </c>
      <c r="F62" s="497"/>
      <c r="G62" s="653" t="s">
        <v>293</v>
      </c>
      <c r="H62" s="650"/>
      <c r="I62" s="651"/>
      <c r="J62" s="6"/>
      <c r="K62" s="6"/>
      <c r="L62" s="148"/>
    </row>
    <row r="63" spans="1:12" ht="22.5" customHeight="1">
      <c r="A63" s="148"/>
      <c r="B63" s="6"/>
      <c r="C63" s="6"/>
      <c r="D63" s="197">
        <v>5</v>
      </c>
      <c r="E63" s="522" t="s">
        <v>103</v>
      </c>
      <c r="F63" s="497"/>
      <c r="G63" s="653" t="s">
        <v>294</v>
      </c>
      <c r="H63" s="650"/>
      <c r="I63" s="651"/>
      <c r="J63" s="6"/>
      <c r="K63" s="6"/>
      <c r="L63" s="148"/>
    </row>
    <row r="64" spans="1:12" ht="22.5" customHeight="1">
      <c r="A64" s="148"/>
      <c r="B64" s="6"/>
      <c r="C64" s="6"/>
      <c r="D64" s="197">
        <v>6</v>
      </c>
      <c r="E64" s="522" t="s">
        <v>104</v>
      </c>
      <c r="F64" s="497"/>
      <c r="G64" s="649"/>
      <c r="H64" s="650"/>
      <c r="I64" s="651"/>
      <c r="J64" s="6"/>
      <c r="K64" s="6"/>
      <c r="L64" s="148"/>
    </row>
    <row r="65" spans="1:12" ht="22.5" customHeight="1">
      <c r="A65" s="148"/>
      <c r="B65" s="6"/>
      <c r="C65" s="6"/>
      <c r="D65" s="197">
        <v>7</v>
      </c>
      <c r="E65" s="522" t="s">
        <v>295</v>
      </c>
      <c r="F65" s="497"/>
      <c r="G65" s="649"/>
      <c r="H65" s="650"/>
      <c r="I65" s="651"/>
      <c r="J65" s="6"/>
      <c r="K65" s="6"/>
      <c r="L65" s="148"/>
    </row>
    <row r="66" spans="1:12" ht="22.5" customHeight="1">
      <c r="A66" s="148"/>
      <c r="B66" s="6"/>
      <c r="C66" s="6"/>
      <c r="D66" s="197">
        <v>8</v>
      </c>
      <c r="E66" s="522" t="s">
        <v>296</v>
      </c>
      <c r="F66" s="497"/>
      <c r="G66" s="649"/>
      <c r="H66" s="650"/>
      <c r="I66" s="651"/>
      <c r="J66" s="6"/>
      <c r="K66" s="6"/>
      <c r="L66" s="148"/>
    </row>
    <row r="67" spans="1:12" ht="22.5" customHeight="1">
      <c r="A67" s="148"/>
      <c r="B67" s="6"/>
      <c r="C67" s="6"/>
      <c r="D67" s="210">
        <v>9</v>
      </c>
      <c r="E67" s="556" t="s">
        <v>297</v>
      </c>
      <c r="F67" s="538"/>
      <c r="G67" s="652"/>
      <c r="H67" s="558"/>
      <c r="I67" s="559"/>
      <c r="J67" s="6"/>
      <c r="K67" s="6"/>
      <c r="L67" s="148"/>
    </row>
    <row r="68" spans="1:12" ht="12.5">
      <c r="A68" s="148"/>
      <c r="B68" s="6"/>
      <c r="C68" s="6"/>
      <c r="D68" s="6"/>
      <c r="E68" s="6"/>
      <c r="F68" s="6"/>
      <c r="G68" s="6"/>
      <c r="H68" s="6"/>
      <c r="I68" s="6"/>
      <c r="J68" s="6"/>
      <c r="K68" s="6"/>
      <c r="L68" s="148"/>
    </row>
    <row r="69" spans="1:12" ht="12.5">
      <c r="A69" s="148"/>
      <c r="B69" s="6"/>
      <c r="C69" s="6"/>
      <c r="D69" s="6"/>
      <c r="E69" s="6"/>
      <c r="F69" s="6"/>
      <c r="G69" s="6"/>
      <c r="H69" s="6"/>
      <c r="I69" s="6"/>
      <c r="J69" s="6"/>
      <c r="K69" s="6"/>
      <c r="L69" s="148"/>
    </row>
    <row r="70" spans="1:12" ht="18.75" customHeight="1">
      <c r="A70" s="148"/>
      <c r="B70" s="148"/>
      <c r="C70" s="148"/>
      <c r="D70" s="148"/>
      <c r="E70" s="148"/>
      <c r="F70" s="148"/>
      <c r="G70" s="148"/>
      <c r="H70" s="148"/>
      <c r="I70" s="148"/>
      <c r="J70" s="148"/>
      <c r="K70" s="148"/>
      <c r="L70" s="148"/>
    </row>
  </sheetData>
  <mergeCells count="65">
    <mergeCell ref="E55:F55"/>
    <mergeCell ref="D57:E57"/>
    <mergeCell ref="E59:F59"/>
    <mergeCell ref="G59:I59"/>
    <mergeCell ref="E49:F49"/>
    <mergeCell ref="D51:F51"/>
    <mergeCell ref="E52:F52"/>
    <mergeCell ref="E53:F53"/>
    <mergeCell ref="E54:F54"/>
    <mergeCell ref="D44:F44"/>
    <mergeCell ref="E45:F45"/>
    <mergeCell ref="E46:F46"/>
    <mergeCell ref="E47:F47"/>
    <mergeCell ref="E48:F48"/>
    <mergeCell ref="E38:F38"/>
    <mergeCell ref="E39:F39"/>
    <mergeCell ref="E40:F40"/>
    <mergeCell ref="E41:F41"/>
    <mergeCell ref="E42:F42"/>
    <mergeCell ref="E32:F32"/>
    <mergeCell ref="E33:F33"/>
    <mergeCell ref="E34:F34"/>
    <mergeCell ref="D36:F36"/>
    <mergeCell ref="E37:F37"/>
    <mergeCell ref="E26:F26"/>
    <mergeCell ref="E27:F27"/>
    <mergeCell ref="E28:F28"/>
    <mergeCell ref="E29:F29"/>
    <mergeCell ref="D31:F31"/>
    <mergeCell ref="E20:F20"/>
    <mergeCell ref="E21:F21"/>
    <mergeCell ref="E22:F22"/>
    <mergeCell ref="E23:F23"/>
    <mergeCell ref="D25:F25"/>
    <mergeCell ref="E15:F15"/>
    <mergeCell ref="E16:F16"/>
    <mergeCell ref="E17:F17"/>
    <mergeCell ref="E18:F18"/>
    <mergeCell ref="E19:F19"/>
    <mergeCell ref="D9:F9"/>
    <mergeCell ref="E10:F10"/>
    <mergeCell ref="E11:F11"/>
    <mergeCell ref="E12:F12"/>
    <mergeCell ref="D14:F14"/>
    <mergeCell ref="C3:C4"/>
    <mergeCell ref="E3:F4"/>
    <mergeCell ref="H3:H4"/>
    <mergeCell ref="I3:J4"/>
    <mergeCell ref="D7:E7"/>
    <mergeCell ref="G64:I64"/>
    <mergeCell ref="G65:I65"/>
    <mergeCell ref="G66:I66"/>
    <mergeCell ref="G67:I67"/>
    <mergeCell ref="E60:F60"/>
    <mergeCell ref="G60:I60"/>
    <mergeCell ref="E61:F61"/>
    <mergeCell ref="G61:I61"/>
    <mergeCell ref="E62:F62"/>
    <mergeCell ref="G62:I62"/>
    <mergeCell ref="G63:I63"/>
    <mergeCell ref="E63:F63"/>
    <mergeCell ref="E64:F64"/>
    <mergeCell ref="E65:F65"/>
    <mergeCell ref="E66:F66"/>
    <mergeCell ref="E67:F6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A86E8"/>
    <outlinePr summaryBelow="0" summaryRight="0"/>
  </sheetPr>
  <dimension ref="A1:L73"/>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18.542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592" t="s">
        <v>135</v>
      </c>
      <c r="D3" s="149"/>
      <c r="E3" s="438"/>
      <c r="F3" s="437"/>
      <c r="G3" s="6"/>
      <c r="H3" s="605" t="s">
        <v>131</v>
      </c>
      <c r="I3" s="588" t="s">
        <v>37</v>
      </c>
      <c r="J3" s="437"/>
      <c r="K3" s="6"/>
      <c r="L3" s="148"/>
    </row>
    <row r="4" spans="1:12" ht="37.5" customHeight="1">
      <c r="A4" s="148"/>
      <c r="B4" s="6"/>
      <c r="C4" s="593"/>
      <c r="D4" s="149"/>
      <c r="E4" s="437"/>
      <c r="F4" s="437"/>
      <c r="G4" s="6"/>
      <c r="H4" s="593"/>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596" t="s">
        <v>139</v>
      </c>
      <c r="E7" s="437"/>
      <c r="F7" s="6"/>
      <c r="G7" s="153" t="s">
        <v>46</v>
      </c>
      <c r="H7" s="153" t="s">
        <v>11</v>
      </c>
      <c r="I7" s="153" t="s">
        <v>47</v>
      </c>
      <c r="J7" s="6"/>
      <c r="K7" s="6"/>
      <c r="L7" s="148"/>
    </row>
    <row r="8" spans="1:12" ht="12.5">
      <c r="A8" s="148"/>
      <c r="B8" s="6"/>
      <c r="C8" s="6"/>
      <c r="J8" s="6"/>
      <c r="K8" s="6"/>
      <c r="L8" s="148"/>
    </row>
    <row r="9" spans="1:12" ht="37.5" customHeight="1">
      <c r="A9" s="148"/>
      <c r="B9" s="6"/>
      <c r="C9" s="6"/>
      <c r="D9" s="518" t="s">
        <v>140</v>
      </c>
      <c r="E9" s="519"/>
      <c r="F9" s="519"/>
      <c r="G9" s="163"/>
      <c r="H9" s="163"/>
      <c r="I9" s="164"/>
      <c r="J9" s="6"/>
      <c r="K9" s="6"/>
      <c r="L9" s="148"/>
    </row>
    <row r="10" spans="1:12" ht="22.5" customHeight="1">
      <c r="A10" s="148"/>
      <c r="B10" s="6"/>
      <c r="C10" s="6"/>
      <c r="D10" s="180">
        <v>1</v>
      </c>
      <c r="E10" s="512" t="s">
        <v>141</v>
      </c>
      <c r="F10" s="513"/>
      <c r="G10" s="364">
        <v>250000</v>
      </c>
      <c r="H10" s="364">
        <v>500000</v>
      </c>
      <c r="I10" s="365">
        <v>1250000</v>
      </c>
      <c r="J10" s="6"/>
      <c r="K10" s="6"/>
      <c r="L10" s="148"/>
    </row>
    <row r="11" spans="1:12" ht="22.5" customHeight="1">
      <c r="A11" s="148"/>
      <c r="B11" s="6"/>
      <c r="C11" s="6"/>
      <c r="D11" s="180">
        <v>2</v>
      </c>
      <c r="E11" s="512" t="s">
        <v>142</v>
      </c>
      <c r="F11" s="513"/>
      <c r="G11" s="181">
        <v>500</v>
      </c>
      <c r="H11" s="181">
        <v>1500</v>
      </c>
      <c r="I11" s="182">
        <v>5000</v>
      </c>
      <c r="J11" s="6"/>
      <c r="K11" s="6"/>
      <c r="L11" s="148"/>
    </row>
    <row r="12" spans="1:12" ht="22.5" customHeight="1">
      <c r="A12" s="148"/>
      <c r="B12" s="6"/>
      <c r="C12" s="6"/>
      <c r="D12" s="180">
        <v>3</v>
      </c>
      <c r="E12" s="512" t="s">
        <v>144</v>
      </c>
      <c r="F12" s="513"/>
      <c r="G12" s="366">
        <v>5</v>
      </c>
      <c r="H12" s="366">
        <v>15</v>
      </c>
      <c r="I12" s="367" t="s">
        <v>71</v>
      </c>
      <c r="J12" s="6"/>
      <c r="K12" s="6"/>
      <c r="L12" s="148"/>
    </row>
    <row r="13" spans="1:12" ht="22.5" customHeight="1">
      <c r="A13" s="148"/>
      <c r="B13" s="6"/>
      <c r="C13" s="6"/>
      <c r="D13" s="225">
        <v>4</v>
      </c>
      <c r="E13" s="516" t="s">
        <v>143</v>
      </c>
      <c r="F13" s="517"/>
      <c r="G13" s="226">
        <v>2</v>
      </c>
      <c r="H13" s="226">
        <v>5</v>
      </c>
      <c r="I13" s="227">
        <v>10</v>
      </c>
      <c r="J13" s="6"/>
      <c r="K13" s="6"/>
      <c r="L13" s="148"/>
    </row>
    <row r="14" spans="1:12" ht="12.5">
      <c r="A14" s="148"/>
      <c r="B14" s="6"/>
      <c r="C14" s="6"/>
      <c r="D14" s="6"/>
      <c r="E14" s="6"/>
      <c r="F14" s="6"/>
      <c r="G14" s="6"/>
      <c r="H14" s="6"/>
      <c r="I14" s="6"/>
      <c r="J14" s="6"/>
      <c r="K14" s="6"/>
      <c r="L14" s="148"/>
    </row>
    <row r="15" spans="1:12" ht="37.5" customHeight="1">
      <c r="A15" s="148"/>
      <c r="B15" s="6"/>
      <c r="C15" s="6"/>
      <c r="D15" s="518" t="s">
        <v>148</v>
      </c>
      <c r="E15" s="519"/>
      <c r="F15" s="519"/>
      <c r="G15" s="163"/>
      <c r="H15" s="163"/>
      <c r="I15" s="164"/>
      <c r="J15" s="6"/>
      <c r="K15" s="6"/>
      <c r="L15" s="148"/>
    </row>
    <row r="16" spans="1:12" ht="22.5" customHeight="1">
      <c r="A16" s="148"/>
      <c r="B16" s="6"/>
      <c r="C16" s="6"/>
      <c r="D16" s="238">
        <v>1</v>
      </c>
      <c r="E16" s="520" t="s">
        <v>155</v>
      </c>
      <c r="F16" s="521"/>
      <c r="G16" s="239" t="b">
        <v>1</v>
      </c>
      <c r="H16" s="239" t="b">
        <v>1</v>
      </c>
      <c r="I16" s="240" t="b">
        <v>1</v>
      </c>
      <c r="J16" s="6"/>
      <c r="K16" s="6"/>
      <c r="L16" s="148"/>
    </row>
    <row r="17" spans="1:12" ht="22.5" customHeight="1">
      <c r="A17" s="148"/>
      <c r="B17" s="6"/>
      <c r="C17" s="6"/>
      <c r="D17" s="180">
        <v>2</v>
      </c>
      <c r="E17" s="523" t="s">
        <v>162</v>
      </c>
      <c r="F17" s="513"/>
      <c r="G17" s="256" t="b">
        <v>1</v>
      </c>
      <c r="H17" s="256" t="b">
        <v>1</v>
      </c>
      <c r="I17" s="257" t="b">
        <v>1</v>
      </c>
      <c r="J17" s="6"/>
      <c r="K17" s="6"/>
      <c r="L17" s="148"/>
    </row>
    <row r="18" spans="1:12" ht="22.5" customHeight="1">
      <c r="A18" s="148"/>
      <c r="B18" s="6"/>
      <c r="C18" s="6"/>
      <c r="D18" s="180">
        <v>3</v>
      </c>
      <c r="E18" s="523" t="s">
        <v>168</v>
      </c>
      <c r="F18" s="513"/>
      <c r="G18" s="256" t="b">
        <v>1</v>
      </c>
      <c r="H18" s="256" t="b">
        <v>1</v>
      </c>
      <c r="I18" s="257" t="b">
        <v>1</v>
      </c>
      <c r="J18" s="6"/>
      <c r="K18" s="6"/>
      <c r="L18" s="148"/>
    </row>
    <row r="19" spans="1:12" ht="22.5" customHeight="1">
      <c r="A19" s="148"/>
      <c r="B19" s="6"/>
      <c r="C19" s="6"/>
      <c r="D19" s="180">
        <v>4</v>
      </c>
      <c r="E19" s="523" t="s">
        <v>175</v>
      </c>
      <c r="F19" s="513"/>
      <c r="G19" s="256" t="b">
        <v>1</v>
      </c>
      <c r="H19" s="256" t="b">
        <v>1</v>
      </c>
      <c r="I19" s="257" t="b">
        <v>1</v>
      </c>
      <c r="J19" s="6"/>
      <c r="K19" s="6"/>
      <c r="L19" s="148"/>
    </row>
    <row r="20" spans="1:12" ht="22.5" customHeight="1">
      <c r="A20" s="148"/>
      <c r="B20" s="6"/>
      <c r="C20" s="6"/>
      <c r="D20" s="225">
        <v>5</v>
      </c>
      <c r="E20" s="633" t="s">
        <v>181</v>
      </c>
      <c r="F20" s="517"/>
      <c r="G20" s="273" t="b">
        <v>1</v>
      </c>
      <c r="H20" s="273" t="b">
        <v>1</v>
      </c>
      <c r="I20" s="274" t="b">
        <v>1</v>
      </c>
      <c r="J20" s="6"/>
      <c r="K20" s="6"/>
      <c r="L20" s="148"/>
    </row>
    <row r="21" spans="1:12" ht="12.5">
      <c r="A21" s="148"/>
      <c r="B21" s="6"/>
      <c r="C21" s="6"/>
      <c r="D21" s="6"/>
      <c r="E21" s="6"/>
      <c r="F21" s="6"/>
      <c r="G21" s="6"/>
      <c r="H21" s="6"/>
      <c r="I21" s="6"/>
      <c r="J21" s="6"/>
      <c r="K21" s="6"/>
      <c r="L21" s="148"/>
    </row>
    <row r="22" spans="1:12" ht="37.5" customHeight="1">
      <c r="A22" s="148"/>
      <c r="B22" s="6"/>
      <c r="C22" s="6"/>
      <c r="D22" s="518" t="s">
        <v>192</v>
      </c>
      <c r="E22" s="519"/>
      <c r="F22" s="519"/>
      <c r="G22" s="163"/>
      <c r="H22" s="163"/>
      <c r="I22" s="164"/>
      <c r="J22" s="6"/>
      <c r="K22" s="6"/>
      <c r="L22" s="148"/>
    </row>
    <row r="23" spans="1:12" ht="22.5" customHeight="1">
      <c r="A23" s="148"/>
      <c r="B23" s="6"/>
      <c r="C23" s="6"/>
      <c r="D23" s="238">
        <v>1</v>
      </c>
      <c r="E23" s="520" t="s">
        <v>199</v>
      </c>
      <c r="F23" s="521"/>
      <c r="G23" s="239" t="b">
        <v>1</v>
      </c>
      <c r="H23" s="239" t="b">
        <v>1</v>
      </c>
      <c r="I23" s="240" t="b">
        <v>1</v>
      </c>
      <c r="J23" s="6"/>
      <c r="K23" s="6"/>
      <c r="L23" s="148"/>
    </row>
    <row r="24" spans="1:12" ht="22.5" customHeight="1">
      <c r="A24" s="148"/>
      <c r="B24" s="6"/>
      <c r="C24" s="6"/>
      <c r="D24" s="180">
        <v>2</v>
      </c>
      <c r="E24" s="523" t="s">
        <v>206</v>
      </c>
      <c r="F24" s="513"/>
      <c r="G24" s="256" t="b">
        <v>1</v>
      </c>
      <c r="H24" s="256" t="b">
        <v>1</v>
      </c>
      <c r="I24" s="257" t="b">
        <v>1</v>
      </c>
      <c r="J24" s="6"/>
      <c r="K24" s="6"/>
      <c r="L24" s="148"/>
    </row>
    <row r="25" spans="1:12" ht="22.5" customHeight="1">
      <c r="A25" s="148"/>
      <c r="B25" s="6"/>
      <c r="C25" s="6"/>
      <c r="D25" s="180">
        <v>3</v>
      </c>
      <c r="E25" s="523" t="s">
        <v>211</v>
      </c>
      <c r="F25" s="513"/>
      <c r="G25" s="256" t="b">
        <v>1</v>
      </c>
      <c r="H25" s="256" t="b">
        <v>1</v>
      </c>
      <c r="I25" s="257" t="b">
        <v>1</v>
      </c>
      <c r="J25" s="6"/>
      <c r="K25" s="6"/>
      <c r="L25" s="148"/>
    </row>
    <row r="26" spans="1:12" ht="22.5" customHeight="1">
      <c r="A26" s="148"/>
      <c r="B26" s="6"/>
      <c r="C26" s="6"/>
      <c r="D26" s="180">
        <v>4</v>
      </c>
      <c r="E26" s="523" t="s">
        <v>217</v>
      </c>
      <c r="F26" s="513"/>
      <c r="G26" s="256" t="b">
        <v>1</v>
      </c>
      <c r="H26" s="256" t="b">
        <v>1</v>
      </c>
      <c r="I26" s="257" t="b">
        <v>1</v>
      </c>
      <c r="J26" s="6"/>
      <c r="K26" s="6"/>
      <c r="L26" s="148"/>
    </row>
    <row r="27" spans="1:12" ht="22.5" customHeight="1">
      <c r="A27" s="148"/>
      <c r="B27" s="6"/>
      <c r="C27" s="6"/>
      <c r="D27" s="180">
        <v>5</v>
      </c>
      <c r="E27" s="523" t="s">
        <v>222</v>
      </c>
      <c r="F27" s="513"/>
      <c r="G27" s="313" t="s">
        <v>58</v>
      </c>
      <c r="H27" s="256" t="b">
        <v>1</v>
      </c>
      <c r="I27" s="257" t="b">
        <v>1</v>
      </c>
      <c r="J27" s="6"/>
      <c r="K27" s="6"/>
      <c r="L27" s="148"/>
    </row>
    <row r="28" spans="1:12" ht="22.5" customHeight="1">
      <c r="A28" s="148"/>
      <c r="B28" s="6"/>
      <c r="C28" s="6"/>
      <c r="D28" s="180">
        <v>6</v>
      </c>
      <c r="E28" s="523" t="s">
        <v>226</v>
      </c>
      <c r="F28" s="513"/>
      <c r="G28" s="313" t="s">
        <v>58</v>
      </c>
      <c r="H28" s="256" t="b">
        <v>1</v>
      </c>
      <c r="I28" s="257" t="b">
        <v>1</v>
      </c>
      <c r="J28" s="6"/>
      <c r="K28" s="6"/>
      <c r="L28" s="148"/>
    </row>
    <row r="29" spans="1:12" ht="22.5" customHeight="1">
      <c r="A29" s="148"/>
      <c r="B29" s="6"/>
      <c r="C29" s="6"/>
      <c r="D29" s="180">
        <v>7</v>
      </c>
      <c r="E29" s="523" t="s">
        <v>230</v>
      </c>
      <c r="F29" s="513"/>
      <c r="G29" s="313" t="s">
        <v>58</v>
      </c>
      <c r="H29" s="256" t="b">
        <v>1</v>
      </c>
      <c r="I29" s="257" t="b">
        <v>1</v>
      </c>
      <c r="J29" s="6"/>
      <c r="K29" s="6"/>
      <c r="L29" s="148"/>
    </row>
    <row r="30" spans="1:12" ht="22.5" customHeight="1">
      <c r="A30" s="148"/>
      <c r="B30" s="6"/>
      <c r="C30" s="6"/>
      <c r="D30" s="180">
        <v>8</v>
      </c>
      <c r="E30" s="523" t="s">
        <v>233</v>
      </c>
      <c r="F30" s="513"/>
      <c r="G30" s="313" t="s">
        <v>58</v>
      </c>
      <c r="H30" s="256" t="b">
        <v>1</v>
      </c>
      <c r="I30" s="257" t="b">
        <v>1</v>
      </c>
      <c r="J30" s="6"/>
      <c r="K30" s="6"/>
      <c r="L30" s="148"/>
    </row>
    <row r="31" spans="1:12" ht="22.5" customHeight="1">
      <c r="A31" s="148"/>
      <c r="B31" s="6"/>
      <c r="C31" s="6"/>
      <c r="D31" s="180">
        <v>9</v>
      </c>
      <c r="E31" s="523" t="s">
        <v>237</v>
      </c>
      <c r="F31" s="513"/>
      <c r="G31" s="313" t="s">
        <v>58</v>
      </c>
      <c r="H31" s="313" t="s">
        <v>58</v>
      </c>
      <c r="I31" s="257" t="b">
        <v>1</v>
      </c>
      <c r="J31" s="6"/>
      <c r="K31" s="6"/>
      <c r="L31" s="148"/>
    </row>
    <row r="32" spans="1:12" ht="22.5" customHeight="1">
      <c r="A32" s="148"/>
      <c r="B32" s="6"/>
      <c r="C32" s="6"/>
      <c r="D32" s="225">
        <v>10</v>
      </c>
      <c r="E32" s="633" t="s">
        <v>242</v>
      </c>
      <c r="F32" s="517"/>
      <c r="G32" s="315" t="s">
        <v>58</v>
      </c>
      <c r="H32" s="315" t="s">
        <v>58</v>
      </c>
      <c r="I32" s="274" t="b">
        <v>1</v>
      </c>
      <c r="J32" s="6"/>
      <c r="K32" s="6"/>
      <c r="L32" s="148"/>
    </row>
    <row r="33" spans="1:12" ht="12.5">
      <c r="A33" s="148"/>
      <c r="B33" s="6"/>
      <c r="C33" s="6"/>
      <c r="D33" s="6"/>
      <c r="E33" s="6"/>
      <c r="F33" s="6"/>
      <c r="G33" s="6"/>
      <c r="H33" s="6"/>
      <c r="I33" s="6"/>
      <c r="J33" s="6"/>
      <c r="K33" s="6"/>
      <c r="L33" s="148"/>
    </row>
    <row r="34" spans="1:12" ht="37.5" customHeight="1">
      <c r="A34" s="148"/>
      <c r="B34" s="6"/>
      <c r="C34" s="6"/>
      <c r="D34" s="518" t="s">
        <v>241</v>
      </c>
      <c r="E34" s="519"/>
      <c r="F34" s="519"/>
      <c r="G34" s="163"/>
      <c r="H34" s="163"/>
      <c r="I34" s="164"/>
      <c r="J34" s="6"/>
      <c r="K34" s="6"/>
      <c r="L34" s="148"/>
    </row>
    <row r="35" spans="1:12" ht="22.5" customHeight="1">
      <c r="A35" s="148"/>
      <c r="B35" s="6"/>
      <c r="C35" s="6"/>
      <c r="D35" s="238">
        <v>1</v>
      </c>
      <c r="E35" s="520" t="s">
        <v>246</v>
      </c>
      <c r="F35" s="521"/>
      <c r="G35" s="239" t="b">
        <v>1</v>
      </c>
      <c r="H35" s="239" t="b">
        <v>1</v>
      </c>
      <c r="I35" s="240" t="b">
        <v>1</v>
      </c>
      <c r="J35" s="6"/>
      <c r="K35" s="6"/>
      <c r="L35" s="148"/>
    </row>
    <row r="36" spans="1:12" ht="22.5" customHeight="1">
      <c r="A36" s="148"/>
      <c r="B36" s="6"/>
      <c r="C36" s="6"/>
      <c r="D36" s="180">
        <v>2</v>
      </c>
      <c r="E36" s="523" t="s">
        <v>250</v>
      </c>
      <c r="F36" s="513"/>
      <c r="G36" s="256" t="b">
        <v>1</v>
      </c>
      <c r="H36" s="256" t="b">
        <v>1</v>
      </c>
      <c r="I36" s="257" t="b">
        <v>1</v>
      </c>
      <c r="J36" s="6"/>
      <c r="K36" s="6"/>
      <c r="L36" s="148"/>
    </row>
    <row r="37" spans="1:12" ht="22.5" customHeight="1">
      <c r="A37" s="148"/>
      <c r="B37" s="6"/>
      <c r="C37" s="6"/>
      <c r="D37" s="225">
        <v>3</v>
      </c>
      <c r="E37" s="633" t="s">
        <v>234</v>
      </c>
      <c r="F37" s="517"/>
      <c r="G37" s="273" t="b">
        <v>1</v>
      </c>
      <c r="H37" s="273" t="b">
        <v>1</v>
      </c>
      <c r="I37" s="274" t="b">
        <v>1</v>
      </c>
      <c r="J37" s="6"/>
      <c r="K37" s="6"/>
      <c r="L37" s="148"/>
    </row>
    <row r="38" spans="1:12" ht="12.5">
      <c r="A38" s="148"/>
      <c r="B38" s="6"/>
      <c r="C38" s="6"/>
      <c r="D38" s="6"/>
      <c r="E38" s="6"/>
      <c r="F38" s="6"/>
      <c r="G38" s="6"/>
      <c r="H38" s="6"/>
      <c r="I38" s="6"/>
      <c r="J38" s="6"/>
      <c r="K38" s="6"/>
      <c r="L38" s="148"/>
    </row>
    <row r="39" spans="1:12" ht="37.5" customHeight="1">
      <c r="A39" s="148"/>
      <c r="B39" s="6"/>
      <c r="C39" s="6"/>
      <c r="D39" s="541" t="s">
        <v>213</v>
      </c>
      <c r="E39" s="542"/>
      <c r="F39" s="542"/>
      <c r="G39" s="334"/>
      <c r="H39" s="334"/>
      <c r="I39" s="335"/>
      <c r="J39" s="6"/>
      <c r="K39" s="6"/>
      <c r="L39" s="148"/>
    </row>
    <row r="40" spans="1:12" ht="22.5" customHeight="1">
      <c r="A40" s="148"/>
      <c r="B40" s="6"/>
      <c r="C40" s="6"/>
      <c r="D40" s="177">
        <v>1</v>
      </c>
      <c r="E40" s="543" t="s">
        <v>77</v>
      </c>
      <c r="F40" s="489"/>
      <c r="G40" s="338" t="b">
        <v>1</v>
      </c>
      <c r="H40" s="338" t="b">
        <v>1</v>
      </c>
      <c r="I40" s="339" t="b">
        <v>1</v>
      </c>
      <c r="J40" s="6"/>
      <c r="K40" s="6"/>
      <c r="L40" s="148"/>
    </row>
    <row r="41" spans="1:12" ht="22.5" customHeight="1">
      <c r="A41" s="148"/>
      <c r="B41" s="6"/>
      <c r="C41" s="6"/>
      <c r="D41" s="197">
        <v>2</v>
      </c>
      <c r="E41" s="522" t="s">
        <v>79</v>
      </c>
      <c r="F41" s="497"/>
      <c r="G41" s="343" t="b">
        <v>1</v>
      </c>
      <c r="H41" s="343" t="b">
        <v>1</v>
      </c>
      <c r="I41" s="344" t="b">
        <v>1</v>
      </c>
      <c r="J41" s="6"/>
      <c r="K41" s="6"/>
      <c r="L41" s="148"/>
    </row>
    <row r="42" spans="1:12" ht="22.5" customHeight="1">
      <c r="A42" s="148"/>
      <c r="B42" s="6"/>
      <c r="C42" s="6"/>
      <c r="D42" s="197">
        <v>3</v>
      </c>
      <c r="E42" s="522" t="s">
        <v>80</v>
      </c>
      <c r="F42" s="497"/>
      <c r="G42" s="343" t="b">
        <v>1</v>
      </c>
      <c r="H42" s="343" t="b">
        <v>1</v>
      </c>
      <c r="I42" s="344" t="b">
        <v>1</v>
      </c>
      <c r="J42" s="6"/>
      <c r="K42" s="6"/>
      <c r="L42" s="148"/>
    </row>
    <row r="43" spans="1:12" ht="22.5" customHeight="1">
      <c r="A43" s="148"/>
      <c r="B43" s="6"/>
      <c r="C43" s="6"/>
      <c r="D43" s="197">
        <v>4</v>
      </c>
      <c r="E43" s="522" t="s">
        <v>81</v>
      </c>
      <c r="F43" s="497"/>
      <c r="G43" s="346" t="s">
        <v>58</v>
      </c>
      <c r="H43" s="343" t="b">
        <v>1</v>
      </c>
      <c r="I43" s="344" t="b">
        <v>1</v>
      </c>
      <c r="J43" s="6"/>
      <c r="K43" s="6"/>
      <c r="L43" s="148"/>
    </row>
    <row r="44" spans="1:12" ht="22.5" customHeight="1">
      <c r="A44" s="148"/>
      <c r="B44" s="6"/>
      <c r="C44" s="6"/>
      <c r="D44" s="197">
        <v>5</v>
      </c>
      <c r="E44" s="522" t="s">
        <v>82</v>
      </c>
      <c r="F44" s="497"/>
      <c r="G44" s="346" t="s">
        <v>58</v>
      </c>
      <c r="H44" s="343" t="b">
        <v>1</v>
      </c>
      <c r="I44" s="344" t="b">
        <v>1</v>
      </c>
      <c r="J44" s="6"/>
      <c r="K44" s="6"/>
      <c r="L44" s="148"/>
    </row>
    <row r="45" spans="1:12" ht="22.5" customHeight="1">
      <c r="A45" s="148"/>
      <c r="B45" s="6"/>
      <c r="C45" s="6"/>
      <c r="D45" s="210">
        <v>6</v>
      </c>
      <c r="E45" s="556" t="s">
        <v>83</v>
      </c>
      <c r="F45" s="538"/>
      <c r="G45" s="350" t="s">
        <v>58</v>
      </c>
      <c r="H45" s="350" t="s">
        <v>58</v>
      </c>
      <c r="I45" s="351" t="b">
        <v>1</v>
      </c>
      <c r="J45" s="6"/>
      <c r="K45" s="6"/>
      <c r="L45" s="148"/>
    </row>
    <row r="46" spans="1:12" ht="12.5">
      <c r="A46" s="148"/>
      <c r="B46" s="6"/>
      <c r="C46" s="6"/>
      <c r="D46" s="6"/>
      <c r="E46" s="6"/>
      <c r="F46" s="6"/>
      <c r="G46" s="353"/>
      <c r="H46" s="353"/>
      <c r="I46" s="353"/>
      <c r="J46" s="6"/>
      <c r="K46" s="6"/>
      <c r="L46" s="148"/>
    </row>
    <row r="47" spans="1:12" ht="37.5" customHeight="1">
      <c r="A47" s="148"/>
      <c r="B47" s="6"/>
      <c r="C47" s="6"/>
      <c r="D47" s="541" t="s">
        <v>248</v>
      </c>
      <c r="E47" s="542"/>
      <c r="F47" s="542"/>
      <c r="G47" s="334"/>
      <c r="H47" s="334"/>
      <c r="I47" s="335"/>
      <c r="J47" s="6"/>
      <c r="K47" s="6"/>
      <c r="L47" s="148"/>
    </row>
    <row r="48" spans="1:12" ht="22.5" customHeight="1">
      <c r="A48" s="148"/>
      <c r="B48" s="6"/>
      <c r="C48" s="6"/>
      <c r="D48" s="177">
        <v>1</v>
      </c>
      <c r="E48" s="543" t="s">
        <v>86</v>
      </c>
      <c r="F48" s="489"/>
      <c r="G48" s="338" t="b">
        <v>1</v>
      </c>
      <c r="H48" s="338" t="b">
        <v>1</v>
      </c>
      <c r="I48" s="339" t="b">
        <v>1</v>
      </c>
      <c r="J48" s="6"/>
      <c r="K48" s="6"/>
      <c r="L48" s="148"/>
    </row>
    <row r="49" spans="1:12" ht="22.5" customHeight="1">
      <c r="A49" s="148"/>
      <c r="B49" s="6"/>
      <c r="C49" s="6"/>
      <c r="D49" s="197">
        <v>2</v>
      </c>
      <c r="E49" s="522" t="s">
        <v>87</v>
      </c>
      <c r="F49" s="497"/>
      <c r="G49" s="343" t="b">
        <v>1</v>
      </c>
      <c r="H49" s="343" t="b">
        <v>1</v>
      </c>
      <c r="I49" s="344" t="b">
        <v>1</v>
      </c>
      <c r="J49" s="6"/>
      <c r="K49" s="6"/>
      <c r="L49" s="148"/>
    </row>
    <row r="50" spans="1:12" ht="22.5" customHeight="1">
      <c r="A50" s="148"/>
      <c r="B50" s="6"/>
      <c r="C50" s="6"/>
      <c r="D50" s="197">
        <v>3</v>
      </c>
      <c r="E50" s="522" t="s">
        <v>88</v>
      </c>
      <c r="F50" s="497"/>
      <c r="G50" s="343" t="b">
        <v>1</v>
      </c>
      <c r="H50" s="343" t="b">
        <v>1</v>
      </c>
      <c r="I50" s="344" t="b">
        <v>1</v>
      </c>
      <c r="J50" s="6"/>
      <c r="K50" s="6"/>
      <c r="L50" s="148"/>
    </row>
    <row r="51" spans="1:12" ht="22.5" customHeight="1">
      <c r="A51" s="148"/>
      <c r="B51" s="6"/>
      <c r="C51" s="6"/>
      <c r="D51" s="197">
        <v>4</v>
      </c>
      <c r="E51" s="522" t="s">
        <v>89</v>
      </c>
      <c r="F51" s="497"/>
      <c r="G51" s="346" t="s">
        <v>58</v>
      </c>
      <c r="H51" s="343" t="b">
        <v>1</v>
      </c>
      <c r="I51" s="344" t="b">
        <v>1</v>
      </c>
      <c r="J51" s="6"/>
      <c r="K51" s="6"/>
      <c r="L51" s="148"/>
    </row>
    <row r="52" spans="1:12" ht="22.5" customHeight="1">
      <c r="A52" s="148"/>
      <c r="B52" s="6"/>
      <c r="C52" s="6"/>
      <c r="D52" s="210">
        <v>5</v>
      </c>
      <c r="E52" s="556" t="s">
        <v>90</v>
      </c>
      <c r="F52" s="538"/>
      <c r="G52" s="350" t="s">
        <v>58</v>
      </c>
      <c r="H52" s="350" t="s">
        <v>58</v>
      </c>
      <c r="I52" s="351" t="b">
        <v>1</v>
      </c>
      <c r="J52" s="6"/>
      <c r="K52" s="6"/>
      <c r="L52" s="148"/>
    </row>
    <row r="53" spans="1:12" ht="12.5">
      <c r="A53" s="148"/>
      <c r="B53" s="6"/>
      <c r="C53" s="6"/>
      <c r="D53" s="6"/>
      <c r="E53" s="6"/>
      <c r="F53" s="6"/>
      <c r="G53" s="6"/>
      <c r="H53" s="6"/>
      <c r="I53" s="6"/>
      <c r="J53" s="6"/>
      <c r="K53" s="6"/>
      <c r="L53" s="148"/>
    </row>
    <row r="54" spans="1:12" ht="37.5" customHeight="1">
      <c r="A54" s="148"/>
      <c r="B54" s="6"/>
      <c r="C54" s="6"/>
      <c r="D54" s="541" t="s">
        <v>288</v>
      </c>
      <c r="E54" s="542"/>
      <c r="F54" s="542"/>
      <c r="G54" s="161"/>
      <c r="H54" s="161"/>
      <c r="I54" s="162"/>
      <c r="J54" s="6"/>
      <c r="K54" s="6"/>
      <c r="L54" s="148"/>
    </row>
    <row r="55" spans="1:12" ht="22.5" customHeight="1">
      <c r="A55" s="148"/>
      <c r="B55" s="6"/>
      <c r="C55" s="6"/>
      <c r="D55" s="177">
        <v>1</v>
      </c>
      <c r="E55" s="543" t="s">
        <v>92</v>
      </c>
      <c r="F55" s="489"/>
      <c r="G55" s="178">
        <v>5000000</v>
      </c>
      <c r="H55" s="178">
        <v>5000000</v>
      </c>
      <c r="I55" s="179">
        <v>5000000</v>
      </c>
      <c r="J55" s="6"/>
      <c r="K55" s="6"/>
      <c r="L55" s="148"/>
    </row>
    <row r="56" spans="1:12" ht="22.5" customHeight="1">
      <c r="A56" s="148"/>
      <c r="B56" s="6"/>
      <c r="C56" s="6"/>
      <c r="D56" s="197">
        <v>2</v>
      </c>
      <c r="E56" s="522" t="s">
        <v>31</v>
      </c>
      <c r="F56" s="497"/>
      <c r="G56" s="361" t="s">
        <v>289</v>
      </c>
      <c r="H56" s="361" t="s">
        <v>289</v>
      </c>
      <c r="I56" s="362" t="s">
        <v>289</v>
      </c>
      <c r="J56" s="6"/>
      <c r="K56" s="6"/>
      <c r="L56" s="148"/>
    </row>
    <row r="57" spans="1:12" ht="22.5" customHeight="1">
      <c r="A57" s="148"/>
      <c r="B57" s="6"/>
      <c r="C57" s="6"/>
      <c r="D57" s="197">
        <v>3</v>
      </c>
      <c r="E57" s="522" t="s">
        <v>94</v>
      </c>
      <c r="F57" s="497"/>
      <c r="G57" s="361" t="s">
        <v>289</v>
      </c>
      <c r="H57" s="361" t="s">
        <v>289</v>
      </c>
      <c r="I57" s="362" t="s">
        <v>289</v>
      </c>
      <c r="J57" s="6"/>
      <c r="K57" s="6"/>
      <c r="L57" s="148"/>
    </row>
    <row r="58" spans="1:12" ht="22.5" customHeight="1">
      <c r="A58" s="148"/>
      <c r="B58" s="6"/>
      <c r="C58" s="6"/>
      <c r="D58" s="210">
        <v>4</v>
      </c>
      <c r="E58" s="556" t="s">
        <v>95</v>
      </c>
      <c r="F58" s="538"/>
      <c r="G58" s="211" t="s">
        <v>289</v>
      </c>
      <c r="H58" s="211" t="s">
        <v>289</v>
      </c>
      <c r="I58" s="212" t="s">
        <v>289</v>
      </c>
      <c r="J58" s="6"/>
      <c r="K58" s="6"/>
      <c r="L58" s="148"/>
    </row>
    <row r="59" spans="1:12" ht="12.5">
      <c r="A59" s="148"/>
      <c r="B59" s="6"/>
      <c r="C59" s="6"/>
      <c r="D59" s="6"/>
      <c r="E59" s="6"/>
      <c r="F59" s="6"/>
      <c r="G59" s="6"/>
      <c r="H59" s="6"/>
      <c r="I59" s="6"/>
      <c r="J59" s="6"/>
      <c r="K59" s="6"/>
      <c r="L59" s="148"/>
    </row>
    <row r="60" spans="1:12" ht="22.5" customHeight="1">
      <c r="A60" s="148"/>
      <c r="B60" s="6"/>
      <c r="C60" s="18"/>
      <c r="D60" s="596" t="s">
        <v>290</v>
      </c>
      <c r="E60" s="437"/>
      <c r="F60" s="6"/>
      <c r="G60" s="6"/>
      <c r="H60" s="6"/>
      <c r="I60" s="6"/>
      <c r="J60" s="6"/>
      <c r="K60" s="6"/>
      <c r="L60" s="148"/>
    </row>
    <row r="61" spans="1:12" ht="18.75" customHeight="1">
      <c r="A61" s="148"/>
      <c r="B61" s="6"/>
      <c r="C61" s="6"/>
      <c r="D61" s="6"/>
      <c r="E61" s="6"/>
      <c r="F61" s="6"/>
      <c r="G61" s="6"/>
      <c r="H61" s="6"/>
      <c r="I61" s="6"/>
      <c r="J61" s="6"/>
      <c r="K61" s="6"/>
      <c r="L61" s="148"/>
    </row>
    <row r="62" spans="1:12" ht="22.5" customHeight="1">
      <c r="A62" s="148"/>
      <c r="B62" s="6"/>
      <c r="C62" s="6"/>
      <c r="D62" s="363">
        <v>1</v>
      </c>
      <c r="E62" s="654" t="s">
        <v>97</v>
      </c>
      <c r="F62" s="655"/>
      <c r="G62" s="656" t="s">
        <v>98</v>
      </c>
      <c r="H62" s="657"/>
      <c r="I62" s="658"/>
      <c r="J62" s="6"/>
      <c r="K62" s="6"/>
      <c r="L62" s="148"/>
    </row>
    <row r="63" spans="1:12" ht="22.5" customHeight="1">
      <c r="A63" s="148"/>
      <c r="B63" s="6"/>
      <c r="C63" s="6"/>
      <c r="D63" s="197">
        <v>2</v>
      </c>
      <c r="E63" s="522" t="s">
        <v>99</v>
      </c>
      <c r="F63" s="497"/>
      <c r="G63" s="653" t="s">
        <v>291</v>
      </c>
      <c r="H63" s="650"/>
      <c r="I63" s="651"/>
      <c r="J63" s="6"/>
      <c r="K63" s="6"/>
      <c r="L63" s="148"/>
    </row>
    <row r="64" spans="1:12" ht="22.5" customHeight="1">
      <c r="A64" s="148"/>
      <c r="B64" s="6"/>
      <c r="C64" s="6"/>
      <c r="D64" s="197">
        <v>3</v>
      </c>
      <c r="E64" s="522" t="s">
        <v>101</v>
      </c>
      <c r="F64" s="497"/>
      <c r="G64" s="653" t="s">
        <v>292</v>
      </c>
      <c r="H64" s="650"/>
      <c r="I64" s="651"/>
      <c r="J64" s="6"/>
      <c r="K64" s="6"/>
      <c r="L64" s="148"/>
    </row>
    <row r="65" spans="1:12" ht="22.5" customHeight="1">
      <c r="A65" s="148"/>
      <c r="B65" s="6"/>
      <c r="C65" s="6"/>
      <c r="D65" s="197">
        <v>4</v>
      </c>
      <c r="E65" s="522" t="s">
        <v>102</v>
      </c>
      <c r="F65" s="497"/>
      <c r="G65" s="653" t="s">
        <v>293</v>
      </c>
      <c r="H65" s="650"/>
      <c r="I65" s="651"/>
      <c r="J65" s="6"/>
      <c r="K65" s="6"/>
      <c r="L65" s="148"/>
    </row>
    <row r="66" spans="1:12" ht="22.5" customHeight="1">
      <c r="A66" s="148"/>
      <c r="B66" s="6"/>
      <c r="C66" s="6"/>
      <c r="D66" s="197">
        <v>5</v>
      </c>
      <c r="E66" s="522" t="s">
        <v>103</v>
      </c>
      <c r="F66" s="497"/>
      <c r="G66" s="653" t="s">
        <v>294</v>
      </c>
      <c r="H66" s="650"/>
      <c r="I66" s="651"/>
      <c r="J66" s="6"/>
      <c r="K66" s="6"/>
      <c r="L66" s="148"/>
    </row>
    <row r="67" spans="1:12" ht="22.5" customHeight="1">
      <c r="A67" s="148"/>
      <c r="B67" s="6"/>
      <c r="C67" s="6"/>
      <c r="D67" s="197">
        <v>6</v>
      </c>
      <c r="E67" s="522" t="s">
        <v>104</v>
      </c>
      <c r="F67" s="497"/>
      <c r="G67" s="649"/>
      <c r="H67" s="650"/>
      <c r="I67" s="651"/>
      <c r="J67" s="6"/>
      <c r="K67" s="6"/>
      <c r="L67" s="148"/>
    </row>
    <row r="68" spans="1:12" ht="22.5" customHeight="1">
      <c r="A68" s="148"/>
      <c r="B68" s="6"/>
      <c r="C68" s="6"/>
      <c r="D68" s="197">
        <v>7</v>
      </c>
      <c r="E68" s="522" t="s">
        <v>295</v>
      </c>
      <c r="F68" s="497"/>
      <c r="G68" s="649"/>
      <c r="H68" s="650"/>
      <c r="I68" s="651"/>
      <c r="J68" s="6"/>
      <c r="K68" s="6"/>
      <c r="L68" s="148"/>
    </row>
    <row r="69" spans="1:12" ht="22.5" customHeight="1">
      <c r="A69" s="148"/>
      <c r="B69" s="6"/>
      <c r="C69" s="6"/>
      <c r="D69" s="197">
        <v>8</v>
      </c>
      <c r="E69" s="522" t="s">
        <v>296</v>
      </c>
      <c r="F69" s="497"/>
      <c r="G69" s="649"/>
      <c r="H69" s="650"/>
      <c r="I69" s="651"/>
      <c r="J69" s="6"/>
      <c r="K69" s="6"/>
      <c r="L69" s="148"/>
    </row>
    <row r="70" spans="1:12" ht="22.5" customHeight="1">
      <c r="A70" s="148"/>
      <c r="B70" s="6"/>
      <c r="C70" s="6"/>
      <c r="D70" s="210">
        <v>9</v>
      </c>
      <c r="E70" s="556" t="s">
        <v>297</v>
      </c>
      <c r="F70" s="538"/>
      <c r="G70" s="652"/>
      <c r="H70" s="558"/>
      <c r="I70" s="559"/>
      <c r="J70" s="6"/>
      <c r="K70" s="6"/>
      <c r="L70" s="148"/>
    </row>
    <row r="71" spans="1:12" ht="18.75" customHeight="1">
      <c r="A71" s="148"/>
      <c r="B71" s="6"/>
      <c r="C71" s="6"/>
      <c r="D71" s="6"/>
      <c r="E71" s="6"/>
      <c r="F71" s="6"/>
      <c r="G71" s="6"/>
      <c r="H71" s="6"/>
      <c r="I71" s="6"/>
      <c r="J71" s="6"/>
      <c r="K71" s="6"/>
      <c r="L71" s="148"/>
    </row>
    <row r="72" spans="1:12" ht="18.75" customHeight="1">
      <c r="A72" s="148"/>
      <c r="B72" s="6"/>
      <c r="C72" s="6"/>
      <c r="D72" s="6"/>
      <c r="E72" s="6"/>
      <c r="F72" s="6"/>
      <c r="G72" s="6"/>
      <c r="H72" s="6"/>
      <c r="I72" s="6"/>
      <c r="J72" s="6"/>
      <c r="K72" s="6"/>
      <c r="L72" s="148"/>
    </row>
    <row r="73" spans="1:12" ht="18.75" customHeight="1">
      <c r="A73" s="148"/>
      <c r="B73" s="148"/>
      <c r="C73" s="148"/>
      <c r="D73" s="148"/>
      <c r="E73" s="148"/>
      <c r="F73" s="148"/>
      <c r="G73" s="148"/>
      <c r="H73" s="148"/>
      <c r="I73" s="148"/>
      <c r="J73" s="148"/>
      <c r="K73" s="148"/>
      <c r="L73" s="148"/>
    </row>
  </sheetData>
  <mergeCells count="68">
    <mergeCell ref="E55:F55"/>
    <mergeCell ref="E56:F56"/>
    <mergeCell ref="E57:F57"/>
    <mergeCell ref="E58:F58"/>
    <mergeCell ref="E49:F49"/>
    <mergeCell ref="E50:F50"/>
    <mergeCell ref="E51:F51"/>
    <mergeCell ref="E52:F52"/>
    <mergeCell ref="D54:F54"/>
    <mergeCell ref="E43:F43"/>
    <mergeCell ref="E44:F44"/>
    <mergeCell ref="E45:F45"/>
    <mergeCell ref="D47:F47"/>
    <mergeCell ref="E48:F48"/>
    <mergeCell ref="E37:F37"/>
    <mergeCell ref="D39:F39"/>
    <mergeCell ref="E40:F40"/>
    <mergeCell ref="E41:F41"/>
    <mergeCell ref="E42:F42"/>
    <mergeCell ref="E31:F31"/>
    <mergeCell ref="E32:F32"/>
    <mergeCell ref="D34:F34"/>
    <mergeCell ref="E35:F35"/>
    <mergeCell ref="E36:F36"/>
    <mergeCell ref="E26:F26"/>
    <mergeCell ref="E27:F27"/>
    <mergeCell ref="E28:F28"/>
    <mergeCell ref="E29:F29"/>
    <mergeCell ref="E30:F30"/>
    <mergeCell ref="E20:F20"/>
    <mergeCell ref="D22:F22"/>
    <mergeCell ref="E23:F23"/>
    <mergeCell ref="E24:F24"/>
    <mergeCell ref="E25:F25"/>
    <mergeCell ref="D15:F15"/>
    <mergeCell ref="E16:F16"/>
    <mergeCell ref="E17:F17"/>
    <mergeCell ref="E18:F18"/>
    <mergeCell ref="E19:F19"/>
    <mergeCell ref="D9:F9"/>
    <mergeCell ref="E10:F10"/>
    <mergeCell ref="E11:F11"/>
    <mergeCell ref="E12:F12"/>
    <mergeCell ref="E13:F13"/>
    <mergeCell ref="C3:C4"/>
    <mergeCell ref="E3:F4"/>
    <mergeCell ref="H3:H4"/>
    <mergeCell ref="I3:J4"/>
    <mergeCell ref="D7:E7"/>
    <mergeCell ref="E64:F64"/>
    <mergeCell ref="G64:I64"/>
    <mergeCell ref="E68:F68"/>
    <mergeCell ref="E69:F69"/>
    <mergeCell ref="E70:F70"/>
    <mergeCell ref="G69:I69"/>
    <mergeCell ref="G70:I70"/>
    <mergeCell ref="E65:F65"/>
    <mergeCell ref="G65:I65"/>
    <mergeCell ref="E66:F66"/>
    <mergeCell ref="G66:I66"/>
    <mergeCell ref="E67:F67"/>
    <mergeCell ref="G67:I67"/>
    <mergeCell ref="G68:I68"/>
    <mergeCell ref="D60:E60"/>
    <mergeCell ref="E62:F62"/>
    <mergeCell ref="G62:I62"/>
    <mergeCell ref="E63:F63"/>
    <mergeCell ref="G63:I6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A86E8"/>
    <outlinePr summaryBelow="0" summaryRight="0"/>
  </sheetPr>
  <dimension ref="A1:L72"/>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18.542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606" t="s">
        <v>136</v>
      </c>
      <c r="D3" s="149"/>
      <c r="E3" s="438"/>
      <c r="F3" s="437"/>
      <c r="G3" s="6"/>
      <c r="H3" s="608" t="s">
        <v>131</v>
      </c>
      <c r="I3" s="588" t="s">
        <v>112</v>
      </c>
      <c r="J3" s="437"/>
      <c r="K3" s="6"/>
      <c r="L3" s="148"/>
    </row>
    <row r="4" spans="1:12" ht="37.5" customHeight="1">
      <c r="A4" s="148"/>
      <c r="B4" s="6"/>
      <c r="C4" s="607"/>
      <c r="D4" s="149"/>
      <c r="E4" s="437"/>
      <c r="F4" s="437"/>
      <c r="G4" s="6"/>
      <c r="H4" s="607"/>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597" t="s">
        <v>139</v>
      </c>
      <c r="E7" s="437"/>
      <c r="F7" s="6"/>
      <c r="G7" s="154" t="s">
        <v>46</v>
      </c>
      <c r="H7" s="154" t="s">
        <v>11</v>
      </c>
      <c r="I7" s="154" t="s">
        <v>47</v>
      </c>
      <c r="J7" s="6"/>
      <c r="K7" s="6"/>
      <c r="L7" s="148"/>
    </row>
    <row r="8" spans="1:12" ht="12.5">
      <c r="A8" s="148"/>
      <c r="B8" s="6"/>
      <c r="C8" s="6"/>
      <c r="J8" s="6"/>
      <c r="K8" s="6"/>
      <c r="L8" s="148"/>
    </row>
    <row r="9" spans="1:12" ht="37.5" customHeight="1">
      <c r="A9" s="148"/>
      <c r="B9" s="6"/>
      <c r="C9" s="6"/>
      <c r="D9" s="524" t="s">
        <v>140</v>
      </c>
      <c r="E9" s="525"/>
      <c r="F9" s="525"/>
      <c r="G9" s="165"/>
      <c r="H9" s="165"/>
      <c r="I9" s="166"/>
      <c r="J9" s="6"/>
      <c r="K9" s="6"/>
      <c r="L9" s="148"/>
    </row>
    <row r="10" spans="1:12" ht="22.5" customHeight="1">
      <c r="A10" s="148"/>
      <c r="B10" s="6"/>
      <c r="C10" s="6"/>
      <c r="D10" s="183">
        <v>1</v>
      </c>
      <c r="E10" s="490" t="s">
        <v>141</v>
      </c>
      <c r="F10" s="491"/>
      <c r="G10" s="184">
        <v>500000</v>
      </c>
      <c r="H10" s="184">
        <v>1000000</v>
      </c>
      <c r="I10" s="185">
        <v>3000000</v>
      </c>
      <c r="J10" s="6"/>
      <c r="K10" s="6"/>
      <c r="L10" s="148"/>
    </row>
    <row r="11" spans="1:12" ht="22.5" customHeight="1">
      <c r="A11" s="148"/>
      <c r="B11" s="6"/>
      <c r="C11" s="6"/>
      <c r="D11" s="183">
        <v>2</v>
      </c>
      <c r="E11" s="490" t="s">
        <v>298</v>
      </c>
      <c r="F11" s="491"/>
      <c r="G11" s="200">
        <v>2500</v>
      </c>
      <c r="H11" s="200">
        <v>15000</v>
      </c>
      <c r="I11" s="201">
        <v>50000</v>
      </c>
      <c r="J11" s="6"/>
      <c r="K11" s="6"/>
      <c r="L11" s="148"/>
    </row>
    <row r="12" spans="1:12" ht="22.5" customHeight="1">
      <c r="A12" s="148"/>
      <c r="B12" s="6"/>
      <c r="C12" s="6"/>
      <c r="D12" s="213">
        <v>3</v>
      </c>
      <c r="E12" s="514" t="s">
        <v>74</v>
      </c>
      <c r="F12" s="515"/>
      <c r="G12" s="214">
        <v>0</v>
      </c>
      <c r="H12" s="214">
        <v>3</v>
      </c>
      <c r="I12" s="215">
        <v>10</v>
      </c>
      <c r="J12" s="6"/>
      <c r="K12" s="6"/>
      <c r="L12" s="148"/>
    </row>
    <row r="13" spans="1:12" ht="12.5">
      <c r="A13" s="148"/>
      <c r="B13" s="6"/>
      <c r="C13" s="6"/>
      <c r="D13" s="6"/>
      <c r="E13" s="6"/>
      <c r="F13" s="6"/>
      <c r="G13" s="6"/>
      <c r="H13" s="6"/>
      <c r="I13" s="6"/>
      <c r="J13" s="6"/>
      <c r="K13" s="6"/>
      <c r="L13" s="148"/>
    </row>
    <row r="14" spans="1:12" ht="37.5" customHeight="1">
      <c r="A14" s="148"/>
      <c r="B14" s="6"/>
      <c r="C14" s="6"/>
      <c r="D14" s="524" t="s">
        <v>149</v>
      </c>
      <c r="E14" s="525"/>
      <c r="F14" s="525"/>
      <c r="G14" s="165"/>
      <c r="H14" s="165"/>
      <c r="I14" s="166"/>
      <c r="J14" s="6"/>
      <c r="K14" s="6"/>
      <c r="L14" s="148"/>
    </row>
    <row r="15" spans="1:12" ht="22.5" customHeight="1">
      <c r="A15" s="148"/>
      <c r="B15" s="6"/>
      <c r="C15" s="6"/>
      <c r="D15" s="241">
        <v>1</v>
      </c>
      <c r="E15" s="545" t="s">
        <v>156</v>
      </c>
      <c r="F15" s="546"/>
      <c r="G15" s="242" t="b">
        <v>1</v>
      </c>
      <c r="H15" s="242" t="b">
        <v>1</v>
      </c>
      <c r="I15" s="243" t="b">
        <v>1</v>
      </c>
      <c r="J15" s="6"/>
      <c r="K15" s="6"/>
      <c r="L15" s="148"/>
    </row>
    <row r="16" spans="1:12" ht="12.5">
      <c r="A16" s="148"/>
      <c r="B16" s="6"/>
      <c r="C16" s="6"/>
      <c r="D16" s="6"/>
      <c r="E16" s="6"/>
      <c r="F16" s="6"/>
      <c r="G16" s="6"/>
      <c r="H16" s="6"/>
      <c r="I16" s="6"/>
      <c r="J16" s="6"/>
      <c r="K16" s="6"/>
      <c r="L16" s="148"/>
    </row>
    <row r="17" spans="1:12" ht="37.5" customHeight="1">
      <c r="A17" s="148"/>
      <c r="B17" s="6"/>
      <c r="C17" s="6"/>
      <c r="D17" s="524" t="s">
        <v>169</v>
      </c>
      <c r="E17" s="525"/>
      <c r="F17" s="525"/>
      <c r="G17" s="165"/>
      <c r="H17" s="165"/>
      <c r="I17" s="166"/>
      <c r="J17" s="6"/>
      <c r="K17" s="6"/>
      <c r="L17" s="148"/>
    </row>
    <row r="18" spans="1:12" ht="22.5" customHeight="1">
      <c r="A18" s="148"/>
      <c r="B18" s="6"/>
      <c r="C18" s="6"/>
      <c r="D18" s="267">
        <v>1</v>
      </c>
      <c r="E18" s="526" t="s">
        <v>176</v>
      </c>
      <c r="F18" s="527"/>
      <c r="G18" s="268" t="b">
        <v>1</v>
      </c>
      <c r="H18" s="268" t="b">
        <v>1</v>
      </c>
      <c r="I18" s="269" t="b">
        <v>1</v>
      </c>
      <c r="J18" s="6"/>
      <c r="K18" s="6"/>
      <c r="L18" s="148"/>
    </row>
    <row r="19" spans="1:12" ht="22.5" customHeight="1">
      <c r="A19" s="148"/>
      <c r="B19" s="6"/>
      <c r="C19" s="6"/>
      <c r="D19" s="183">
        <v>2</v>
      </c>
      <c r="E19" s="560" t="s">
        <v>182</v>
      </c>
      <c r="F19" s="491"/>
      <c r="G19" s="275" t="b">
        <v>1</v>
      </c>
      <c r="H19" s="275" t="b">
        <v>1</v>
      </c>
      <c r="I19" s="276" t="b">
        <v>1</v>
      </c>
      <c r="J19" s="6"/>
      <c r="K19" s="6"/>
      <c r="L19" s="148"/>
    </row>
    <row r="20" spans="1:12" ht="22.5" customHeight="1">
      <c r="A20" s="148"/>
      <c r="B20" s="6"/>
      <c r="C20" s="6"/>
      <c r="D20" s="183">
        <v>3</v>
      </c>
      <c r="E20" s="560" t="s">
        <v>187</v>
      </c>
      <c r="F20" s="491"/>
      <c r="G20" s="275" t="b">
        <v>1</v>
      </c>
      <c r="H20" s="275" t="b">
        <v>1</v>
      </c>
      <c r="I20" s="276" t="b">
        <v>1</v>
      </c>
      <c r="J20" s="6"/>
      <c r="K20" s="6"/>
      <c r="L20" s="148"/>
    </row>
    <row r="21" spans="1:12" ht="22.5" customHeight="1">
      <c r="A21" s="148"/>
      <c r="B21" s="6"/>
      <c r="C21" s="6"/>
      <c r="D21" s="183">
        <v>4</v>
      </c>
      <c r="E21" s="560" t="s">
        <v>193</v>
      </c>
      <c r="F21" s="491"/>
      <c r="G21" s="275" t="b">
        <v>1</v>
      </c>
      <c r="H21" s="275" t="b">
        <v>1</v>
      </c>
      <c r="I21" s="276" t="b">
        <v>1</v>
      </c>
      <c r="J21" s="6"/>
      <c r="K21" s="6"/>
      <c r="L21" s="148"/>
    </row>
    <row r="22" spans="1:12" ht="22.5" customHeight="1">
      <c r="A22" s="148"/>
      <c r="B22" s="6"/>
      <c r="C22" s="6"/>
      <c r="D22" s="183">
        <v>5</v>
      </c>
      <c r="E22" s="560" t="s">
        <v>200</v>
      </c>
      <c r="F22" s="491"/>
      <c r="G22" s="275" t="b">
        <v>1</v>
      </c>
      <c r="H22" s="275" t="b">
        <v>1</v>
      </c>
      <c r="I22" s="276" t="b">
        <v>1</v>
      </c>
      <c r="J22" s="6"/>
      <c r="K22" s="6"/>
      <c r="L22" s="148"/>
    </row>
    <row r="23" spans="1:12" ht="22.5" customHeight="1">
      <c r="A23" s="148"/>
      <c r="B23" s="6"/>
      <c r="C23" s="6"/>
      <c r="D23" s="183">
        <v>6</v>
      </c>
      <c r="E23" s="560" t="s">
        <v>207</v>
      </c>
      <c r="F23" s="491"/>
      <c r="G23" s="275" t="b">
        <v>1</v>
      </c>
      <c r="H23" s="275" t="b">
        <v>1</v>
      </c>
      <c r="I23" s="276" t="b">
        <v>1</v>
      </c>
      <c r="J23" s="6"/>
      <c r="K23" s="6"/>
      <c r="L23" s="148"/>
    </row>
    <row r="24" spans="1:12" ht="22.5" customHeight="1">
      <c r="A24" s="148"/>
      <c r="B24" s="6"/>
      <c r="C24" s="6"/>
      <c r="D24" s="183">
        <v>7</v>
      </c>
      <c r="E24" s="560" t="s">
        <v>212</v>
      </c>
      <c r="F24" s="491"/>
      <c r="G24" s="275" t="b">
        <v>1</v>
      </c>
      <c r="H24" s="275" t="b">
        <v>1</v>
      </c>
      <c r="I24" s="276" t="b">
        <v>1</v>
      </c>
      <c r="J24" s="6"/>
      <c r="K24" s="6"/>
      <c r="L24" s="148"/>
    </row>
    <row r="25" spans="1:12" ht="22.5" customHeight="1">
      <c r="A25" s="148"/>
      <c r="B25" s="6"/>
      <c r="C25" s="6"/>
      <c r="D25" s="213">
        <v>8</v>
      </c>
      <c r="E25" s="561" t="s">
        <v>218</v>
      </c>
      <c r="F25" s="515"/>
      <c r="G25" s="298" t="b">
        <v>1</v>
      </c>
      <c r="H25" s="298" t="b">
        <v>1</v>
      </c>
      <c r="I25" s="299" t="b">
        <v>1</v>
      </c>
      <c r="J25" s="6"/>
      <c r="K25" s="6"/>
      <c r="L25" s="148"/>
    </row>
    <row r="26" spans="1:12" ht="12.5">
      <c r="A26" s="148"/>
      <c r="B26" s="6"/>
      <c r="C26" s="6"/>
      <c r="D26" s="6"/>
      <c r="E26" s="6"/>
      <c r="F26" s="6"/>
      <c r="G26" s="6"/>
      <c r="H26" s="6"/>
      <c r="I26" s="6"/>
      <c r="J26" s="6"/>
      <c r="K26" s="6"/>
      <c r="L26" s="148"/>
    </row>
    <row r="27" spans="1:12" ht="37.5" customHeight="1">
      <c r="A27" s="148"/>
      <c r="B27" s="6"/>
      <c r="C27" s="6"/>
      <c r="D27" s="524" t="s">
        <v>227</v>
      </c>
      <c r="E27" s="525"/>
      <c r="F27" s="525"/>
      <c r="G27" s="165"/>
      <c r="H27" s="165"/>
      <c r="I27" s="166"/>
      <c r="J27" s="6"/>
      <c r="K27" s="6"/>
      <c r="L27" s="148"/>
    </row>
    <row r="28" spans="1:12" ht="22.5" customHeight="1">
      <c r="A28" s="148"/>
      <c r="B28" s="6"/>
      <c r="C28" s="6"/>
      <c r="D28" s="267">
        <v>1</v>
      </c>
      <c r="E28" s="526" t="s">
        <v>231</v>
      </c>
      <c r="F28" s="527"/>
      <c r="G28" s="308" t="s">
        <v>58</v>
      </c>
      <c r="H28" s="268" t="b">
        <v>1</v>
      </c>
      <c r="I28" s="269" t="b">
        <v>1</v>
      </c>
      <c r="J28" s="6"/>
      <c r="K28" s="6"/>
      <c r="L28" s="148"/>
    </row>
    <row r="29" spans="1:12" ht="22.5" customHeight="1">
      <c r="A29" s="148"/>
      <c r="B29" s="6"/>
      <c r="C29" s="6"/>
      <c r="D29" s="183">
        <v>2</v>
      </c>
      <c r="E29" s="560" t="s">
        <v>234</v>
      </c>
      <c r="F29" s="491"/>
      <c r="G29" s="312" t="s">
        <v>58</v>
      </c>
      <c r="H29" s="275" t="b">
        <v>1</v>
      </c>
      <c r="I29" s="276" t="b">
        <v>1</v>
      </c>
      <c r="J29" s="6"/>
      <c r="K29" s="6"/>
      <c r="L29" s="148"/>
    </row>
    <row r="30" spans="1:12" ht="22.5" customHeight="1">
      <c r="A30" s="148"/>
      <c r="B30" s="6"/>
      <c r="C30" s="6"/>
      <c r="D30" s="183">
        <v>2</v>
      </c>
      <c r="E30" s="560" t="s">
        <v>238</v>
      </c>
      <c r="F30" s="491"/>
      <c r="G30" s="312" t="s">
        <v>58</v>
      </c>
      <c r="H30" s="275" t="b">
        <v>1</v>
      </c>
      <c r="I30" s="276" t="b">
        <v>1</v>
      </c>
      <c r="J30" s="6"/>
      <c r="K30" s="6"/>
      <c r="L30" s="148"/>
    </row>
    <row r="31" spans="1:12" ht="22.5" customHeight="1">
      <c r="A31" s="148"/>
      <c r="B31" s="6"/>
      <c r="C31" s="6"/>
      <c r="D31" s="183">
        <v>2</v>
      </c>
      <c r="E31" s="560" t="s">
        <v>243</v>
      </c>
      <c r="F31" s="491"/>
      <c r="G31" s="312" t="s">
        <v>58</v>
      </c>
      <c r="H31" s="275" t="b">
        <v>1</v>
      </c>
      <c r="I31" s="276" t="b">
        <v>1</v>
      </c>
      <c r="J31" s="6"/>
      <c r="K31" s="6"/>
      <c r="L31" s="148"/>
    </row>
    <row r="32" spans="1:12" ht="22.5" customHeight="1">
      <c r="A32" s="148"/>
      <c r="B32" s="6"/>
      <c r="C32" s="6"/>
      <c r="D32" s="183">
        <v>2</v>
      </c>
      <c r="E32" s="560" t="s">
        <v>247</v>
      </c>
      <c r="F32" s="491"/>
      <c r="G32" s="312" t="s">
        <v>58</v>
      </c>
      <c r="H32" s="275" t="b">
        <v>1</v>
      </c>
      <c r="I32" s="276" t="b">
        <v>1</v>
      </c>
      <c r="J32" s="6"/>
      <c r="K32" s="6"/>
      <c r="L32" s="148"/>
    </row>
    <row r="33" spans="1:12" ht="22.5" customHeight="1">
      <c r="A33" s="148"/>
      <c r="B33" s="6"/>
      <c r="C33" s="6"/>
      <c r="D33" s="183">
        <v>2</v>
      </c>
      <c r="E33" s="560" t="s">
        <v>251</v>
      </c>
      <c r="F33" s="491"/>
      <c r="G33" s="312" t="s">
        <v>58</v>
      </c>
      <c r="H33" s="275" t="b">
        <v>1</v>
      </c>
      <c r="I33" s="276" t="b">
        <v>1</v>
      </c>
      <c r="J33" s="6"/>
      <c r="K33" s="6"/>
      <c r="L33" s="148"/>
    </row>
    <row r="34" spans="1:12" ht="22.5" customHeight="1">
      <c r="A34" s="148"/>
      <c r="B34" s="6"/>
      <c r="C34" s="6"/>
      <c r="D34" s="183">
        <v>2</v>
      </c>
      <c r="E34" s="560" t="s">
        <v>254</v>
      </c>
      <c r="F34" s="491"/>
      <c r="G34" s="312" t="s">
        <v>58</v>
      </c>
      <c r="H34" s="275" t="b">
        <v>1</v>
      </c>
      <c r="I34" s="276" t="b">
        <v>1</v>
      </c>
      <c r="J34" s="6"/>
      <c r="K34" s="6"/>
      <c r="L34" s="148"/>
    </row>
    <row r="35" spans="1:12" ht="22.5" customHeight="1">
      <c r="A35" s="148"/>
      <c r="B35" s="6"/>
      <c r="C35" s="6"/>
      <c r="D35" s="183">
        <v>2</v>
      </c>
      <c r="E35" s="560" t="s">
        <v>259</v>
      </c>
      <c r="F35" s="491"/>
      <c r="G35" s="312" t="s">
        <v>58</v>
      </c>
      <c r="H35" s="275" t="b">
        <v>1</v>
      </c>
      <c r="I35" s="276" t="b">
        <v>1</v>
      </c>
      <c r="J35" s="6"/>
      <c r="K35" s="6"/>
      <c r="L35" s="148"/>
    </row>
    <row r="36" spans="1:12" ht="22.5" customHeight="1">
      <c r="A36" s="148"/>
      <c r="B36" s="6"/>
      <c r="C36" s="6"/>
      <c r="D36" s="213">
        <v>3</v>
      </c>
      <c r="E36" s="561" t="s">
        <v>264</v>
      </c>
      <c r="F36" s="515"/>
      <c r="G36" s="332" t="s">
        <v>58</v>
      </c>
      <c r="H36" s="298" t="b">
        <v>1</v>
      </c>
      <c r="I36" s="299" t="b">
        <v>1</v>
      </c>
      <c r="J36" s="6"/>
      <c r="K36" s="6"/>
      <c r="L36" s="148"/>
    </row>
    <row r="37" spans="1:12" ht="12.5">
      <c r="A37" s="148"/>
      <c r="B37" s="6"/>
      <c r="C37" s="6"/>
      <c r="D37" s="6"/>
      <c r="E37" s="6"/>
      <c r="F37" s="6"/>
      <c r="G37" s="6"/>
      <c r="H37" s="6"/>
      <c r="I37" s="6"/>
      <c r="J37" s="6"/>
      <c r="K37" s="6"/>
      <c r="L37" s="148"/>
    </row>
    <row r="38" spans="1:12" ht="37.5" customHeight="1">
      <c r="A38" s="148"/>
      <c r="B38" s="6"/>
      <c r="C38" s="6"/>
      <c r="D38" s="524" t="s">
        <v>213</v>
      </c>
      <c r="E38" s="525"/>
      <c r="F38" s="525"/>
      <c r="G38" s="336"/>
      <c r="H38" s="336"/>
      <c r="I38" s="337"/>
      <c r="J38" s="6"/>
      <c r="K38" s="6"/>
      <c r="L38" s="148"/>
    </row>
    <row r="39" spans="1:12" ht="22.5" customHeight="1">
      <c r="A39" s="148"/>
      <c r="B39" s="6"/>
      <c r="C39" s="6"/>
      <c r="D39" s="267">
        <v>1</v>
      </c>
      <c r="E39" s="526" t="s">
        <v>77</v>
      </c>
      <c r="F39" s="527"/>
      <c r="G39" s="268" t="b">
        <v>1</v>
      </c>
      <c r="H39" s="268" t="b">
        <v>1</v>
      </c>
      <c r="I39" s="269" t="b">
        <v>1</v>
      </c>
      <c r="J39" s="6"/>
      <c r="K39" s="6"/>
      <c r="L39" s="148"/>
    </row>
    <row r="40" spans="1:12" ht="22.5" customHeight="1">
      <c r="A40" s="148"/>
      <c r="B40" s="6"/>
      <c r="C40" s="6"/>
      <c r="D40" s="183">
        <v>2</v>
      </c>
      <c r="E40" s="560" t="s">
        <v>79</v>
      </c>
      <c r="F40" s="491"/>
      <c r="G40" s="275" t="b">
        <v>1</v>
      </c>
      <c r="H40" s="275" t="b">
        <v>1</v>
      </c>
      <c r="I40" s="276" t="b">
        <v>1</v>
      </c>
      <c r="J40" s="6"/>
      <c r="K40" s="6"/>
      <c r="L40" s="148"/>
    </row>
    <row r="41" spans="1:12" ht="22.5" customHeight="1">
      <c r="A41" s="148"/>
      <c r="B41" s="6"/>
      <c r="C41" s="6"/>
      <c r="D41" s="183">
        <v>3</v>
      </c>
      <c r="E41" s="560" t="s">
        <v>80</v>
      </c>
      <c r="F41" s="491"/>
      <c r="G41" s="275" t="b">
        <v>1</v>
      </c>
      <c r="H41" s="275" t="b">
        <v>1</v>
      </c>
      <c r="I41" s="276" t="b">
        <v>1</v>
      </c>
      <c r="J41" s="6"/>
      <c r="K41" s="6"/>
      <c r="L41" s="148"/>
    </row>
    <row r="42" spans="1:12" ht="22.5" customHeight="1">
      <c r="A42" s="148"/>
      <c r="B42" s="6"/>
      <c r="C42" s="6"/>
      <c r="D42" s="183">
        <v>4</v>
      </c>
      <c r="E42" s="560" t="s">
        <v>81</v>
      </c>
      <c r="F42" s="491"/>
      <c r="G42" s="347" t="s">
        <v>58</v>
      </c>
      <c r="H42" s="275" t="b">
        <v>1</v>
      </c>
      <c r="I42" s="276" t="b">
        <v>1</v>
      </c>
      <c r="J42" s="6"/>
      <c r="K42" s="6"/>
      <c r="L42" s="148"/>
    </row>
    <row r="43" spans="1:12" ht="22.5" customHeight="1">
      <c r="A43" s="148"/>
      <c r="B43" s="6"/>
      <c r="C43" s="6"/>
      <c r="D43" s="183">
        <v>5</v>
      </c>
      <c r="E43" s="560" t="s">
        <v>82</v>
      </c>
      <c r="F43" s="491"/>
      <c r="G43" s="347" t="s">
        <v>58</v>
      </c>
      <c r="H43" s="275" t="b">
        <v>1</v>
      </c>
      <c r="I43" s="276" t="b">
        <v>1</v>
      </c>
      <c r="J43" s="6"/>
      <c r="K43" s="6"/>
      <c r="L43" s="148"/>
    </row>
    <row r="44" spans="1:12" ht="22.5" customHeight="1">
      <c r="A44" s="148"/>
      <c r="B44" s="6"/>
      <c r="C44" s="6"/>
      <c r="D44" s="213">
        <v>6</v>
      </c>
      <c r="E44" s="561" t="s">
        <v>83</v>
      </c>
      <c r="F44" s="515"/>
      <c r="G44" s="352" t="s">
        <v>58</v>
      </c>
      <c r="H44" s="352" t="s">
        <v>58</v>
      </c>
      <c r="I44" s="299" t="b">
        <v>1</v>
      </c>
      <c r="J44" s="6"/>
      <c r="K44" s="6"/>
      <c r="L44" s="148"/>
    </row>
    <row r="45" spans="1:12" ht="12.5">
      <c r="A45" s="148"/>
      <c r="B45" s="6"/>
      <c r="C45" s="6"/>
      <c r="D45" s="6"/>
      <c r="E45" s="6"/>
      <c r="F45" s="6"/>
      <c r="G45" s="354"/>
      <c r="H45" s="354"/>
      <c r="I45" s="354"/>
      <c r="J45" s="6"/>
      <c r="K45" s="6"/>
      <c r="L45" s="148"/>
    </row>
    <row r="46" spans="1:12" ht="37.5" customHeight="1">
      <c r="A46" s="148"/>
      <c r="B46" s="6"/>
      <c r="C46" s="6"/>
      <c r="D46" s="524" t="s">
        <v>248</v>
      </c>
      <c r="E46" s="525"/>
      <c r="F46" s="525"/>
      <c r="G46" s="355"/>
      <c r="H46" s="355"/>
      <c r="I46" s="356"/>
      <c r="J46" s="6"/>
      <c r="K46" s="6"/>
      <c r="L46" s="148"/>
    </row>
    <row r="47" spans="1:12" ht="22.5" customHeight="1">
      <c r="A47" s="148"/>
      <c r="B47" s="6"/>
      <c r="C47" s="6"/>
      <c r="D47" s="267">
        <v>1</v>
      </c>
      <c r="E47" s="526" t="s">
        <v>86</v>
      </c>
      <c r="F47" s="527"/>
      <c r="G47" s="268" t="b">
        <v>1</v>
      </c>
      <c r="H47" s="268" t="b">
        <v>1</v>
      </c>
      <c r="I47" s="269" t="b">
        <v>1</v>
      </c>
      <c r="J47" s="6"/>
      <c r="K47" s="6"/>
      <c r="L47" s="148"/>
    </row>
    <row r="48" spans="1:12" ht="22.5" customHeight="1">
      <c r="A48" s="148"/>
      <c r="B48" s="6"/>
      <c r="C48" s="6"/>
      <c r="D48" s="183">
        <v>2</v>
      </c>
      <c r="E48" s="560" t="s">
        <v>87</v>
      </c>
      <c r="F48" s="491"/>
      <c r="G48" s="275" t="b">
        <v>1</v>
      </c>
      <c r="H48" s="275" t="b">
        <v>1</v>
      </c>
      <c r="I48" s="276" t="b">
        <v>1</v>
      </c>
      <c r="J48" s="6"/>
      <c r="K48" s="6"/>
      <c r="L48" s="148"/>
    </row>
    <row r="49" spans="1:12" ht="22.5" customHeight="1">
      <c r="A49" s="148"/>
      <c r="B49" s="6"/>
      <c r="C49" s="6"/>
      <c r="D49" s="183">
        <v>3</v>
      </c>
      <c r="E49" s="560" t="s">
        <v>88</v>
      </c>
      <c r="F49" s="491"/>
      <c r="G49" s="275" t="b">
        <v>1</v>
      </c>
      <c r="H49" s="275" t="b">
        <v>1</v>
      </c>
      <c r="I49" s="276" t="b">
        <v>1</v>
      </c>
      <c r="J49" s="6"/>
      <c r="K49" s="6"/>
      <c r="L49" s="148"/>
    </row>
    <row r="50" spans="1:12" ht="22.5" customHeight="1">
      <c r="A50" s="148"/>
      <c r="B50" s="6"/>
      <c r="C50" s="6"/>
      <c r="D50" s="183">
        <v>4</v>
      </c>
      <c r="E50" s="560" t="s">
        <v>89</v>
      </c>
      <c r="F50" s="491"/>
      <c r="G50" s="347" t="s">
        <v>58</v>
      </c>
      <c r="H50" s="275" t="b">
        <v>1</v>
      </c>
      <c r="I50" s="276" t="b">
        <v>1</v>
      </c>
      <c r="J50" s="6"/>
      <c r="K50" s="6"/>
      <c r="L50" s="148"/>
    </row>
    <row r="51" spans="1:12" ht="22.5" customHeight="1">
      <c r="A51" s="148"/>
      <c r="B51" s="6"/>
      <c r="C51" s="6"/>
      <c r="D51" s="213">
        <v>5</v>
      </c>
      <c r="E51" s="561" t="s">
        <v>90</v>
      </c>
      <c r="F51" s="515"/>
      <c r="G51" s="352" t="s">
        <v>58</v>
      </c>
      <c r="H51" s="352" t="s">
        <v>58</v>
      </c>
      <c r="I51" s="299" t="b">
        <v>1</v>
      </c>
      <c r="J51" s="6"/>
      <c r="K51" s="6"/>
      <c r="L51" s="148"/>
    </row>
    <row r="52" spans="1:12" ht="12.5">
      <c r="A52" s="148"/>
      <c r="B52" s="6"/>
      <c r="C52" s="6"/>
      <c r="D52" s="6"/>
      <c r="E52" s="6"/>
      <c r="F52" s="6"/>
      <c r="G52" s="6"/>
      <c r="H52" s="6"/>
      <c r="I52" s="6"/>
      <c r="J52" s="6"/>
      <c r="K52" s="6"/>
      <c r="L52" s="148"/>
    </row>
    <row r="53" spans="1:12" ht="37.5" customHeight="1">
      <c r="A53" s="148"/>
      <c r="B53" s="6"/>
      <c r="C53" s="6"/>
      <c r="D53" s="524" t="s">
        <v>288</v>
      </c>
      <c r="E53" s="525"/>
      <c r="F53" s="525"/>
      <c r="G53" s="165"/>
      <c r="H53" s="165"/>
      <c r="I53" s="166"/>
      <c r="J53" s="6"/>
      <c r="K53" s="6"/>
      <c r="L53" s="148"/>
    </row>
    <row r="54" spans="1:12" ht="22.5" customHeight="1">
      <c r="A54" s="148"/>
      <c r="B54" s="6"/>
      <c r="C54" s="6"/>
      <c r="D54" s="267">
        <v>1</v>
      </c>
      <c r="E54" s="526" t="s">
        <v>92</v>
      </c>
      <c r="F54" s="527"/>
      <c r="G54" s="368">
        <v>5000000</v>
      </c>
      <c r="H54" s="368">
        <v>5000000</v>
      </c>
      <c r="I54" s="369">
        <v>5000000</v>
      </c>
      <c r="J54" s="6"/>
      <c r="K54" s="6"/>
      <c r="L54" s="148"/>
    </row>
    <row r="55" spans="1:12" ht="22.5" customHeight="1">
      <c r="A55" s="148"/>
      <c r="B55" s="6"/>
      <c r="C55" s="6"/>
      <c r="D55" s="183">
        <v>2</v>
      </c>
      <c r="E55" s="560" t="s">
        <v>31</v>
      </c>
      <c r="F55" s="491"/>
      <c r="G55" s="200" t="s">
        <v>289</v>
      </c>
      <c r="H55" s="200" t="s">
        <v>289</v>
      </c>
      <c r="I55" s="201" t="s">
        <v>289</v>
      </c>
      <c r="J55" s="6"/>
      <c r="K55" s="6"/>
      <c r="L55" s="148"/>
    </row>
    <row r="56" spans="1:12" ht="22.5" customHeight="1">
      <c r="A56" s="148"/>
      <c r="B56" s="6"/>
      <c r="C56" s="6"/>
      <c r="D56" s="183">
        <v>3</v>
      </c>
      <c r="E56" s="560" t="s">
        <v>94</v>
      </c>
      <c r="F56" s="491"/>
      <c r="G56" s="200" t="s">
        <v>289</v>
      </c>
      <c r="H56" s="200" t="s">
        <v>289</v>
      </c>
      <c r="I56" s="201" t="s">
        <v>289</v>
      </c>
      <c r="J56" s="6"/>
      <c r="K56" s="6"/>
      <c r="L56" s="148"/>
    </row>
    <row r="57" spans="1:12" ht="22.5" customHeight="1">
      <c r="A57" s="148"/>
      <c r="B57" s="6"/>
      <c r="C57" s="6"/>
      <c r="D57" s="213">
        <v>4</v>
      </c>
      <c r="E57" s="561" t="s">
        <v>95</v>
      </c>
      <c r="F57" s="515"/>
      <c r="G57" s="370" t="s">
        <v>289</v>
      </c>
      <c r="H57" s="370" t="s">
        <v>289</v>
      </c>
      <c r="I57" s="371" t="s">
        <v>289</v>
      </c>
      <c r="J57" s="6"/>
      <c r="K57" s="6"/>
      <c r="L57" s="148"/>
    </row>
    <row r="58" spans="1:12" ht="12.5">
      <c r="A58" s="148"/>
      <c r="B58" s="6"/>
      <c r="C58" s="6"/>
      <c r="D58" s="6"/>
      <c r="E58" s="6"/>
      <c r="F58" s="6"/>
      <c r="G58" s="6"/>
      <c r="H58" s="6"/>
      <c r="I58" s="6"/>
      <c r="J58" s="6"/>
      <c r="K58" s="6"/>
      <c r="L58" s="148"/>
    </row>
    <row r="59" spans="1:12" ht="22.5" customHeight="1">
      <c r="A59" s="148"/>
      <c r="B59" s="6"/>
      <c r="C59" s="18"/>
      <c r="D59" s="597" t="s">
        <v>290</v>
      </c>
      <c r="E59" s="437"/>
      <c r="F59" s="6"/>
      <c r="G59" s="6"/>
      <c r="H59" s="6"/>
      <c r="I59" s="6"/>
      <c r="J59" s="6"/>
      <c r="K59" s="6"/>
      <c r="L59" s="148"/>
    </row>
    <row r="60" spans="1:12" ht="18.75" customHeight="1">
      <c r="A60" s="148"/>
      <c r="B60" s="6"/>
      <c r="C60" s="6"/>
      <c r="D60" s="6"/>
      <c r="E60" s="6"/>
      <c r="F60" s="6"/>
      <c r="G60" s="6"/>
      <c r="H60" s="6"/>
      <c r="I60" s="6"/>
      <c r="J60" s="6"/>
      <c r="K60" s="6"/>
      <c r="L60" s="148"/>
    </row>
    <row r="61" spans="1:12" ht="22.5" customHeight="1">
      <c r="A61" s="148"/>
      <c r="B61" s="6"/>
      <c r="C61" s="6"/>
      <c r="D61" s="372">
        <v>1</v>
      </c>
      <c r="E61" s="664" t="s">
        <v>97</v>
      </c>
      <c r="F61" s="665"/>
      <c r="G61" s="666" t="s">
        <v>98</v>
      </c>
      <c r="H61" s="667"/>
      <c r="I61" s="668"/>
      <c r="J61" s="6"/>
      <c r="K61" s="6"/>
      <c r="L61" s="148"/>
    </row>
    <row r="62" spans="1:12" ht="22.5" customHeight="1">
      <c r="A62" s="148"/>
      <c r="B62" s="6"/>
      <c r="C62" s="6"/>
      <c r="D62" s="183">
        <v>2</v>
      </c>
      <c r="E62" s="560" t="s">
        <v>99</v>
      </c>
      <c r="F62" s="491"/>
      <c r="G62" s="659" t="s">
        <v>291</v>
      </c>
      <c r="H62" s="660"/>
      <c r="I62" s="661"/>
      <c r="J62" s="6"/>
      <c r="K62" s="6"/>
      <c r="L62" s="148"/>
    </row>
    <row r="63" spans="1:12" ht="22.5" customHeight="1">
      <c r="A63" s="148"/>
      <c r="B63" s="6"/>
      <c r="C63" s="6"/>
      <c r="D63" s="183">
        <v>3</v>
      </c>
      <c r="E63" s="560" t="s">
        <v>101</v>
      </c>
      <c r="F63" s="491"/>
      <c r="G63" s="659" t="s">
        <v>292</v>
      </c>
      <c r="H63" s="660"/>
      <c r="I63" s="661"/>
      <c r="J63" s="6"/>
      <c r="K63" s="6"/>
      <c r="L63" s="148"/>
    </row>
    <row r="64" spans="1:12" ht="22.5" customHeight="1">
      <c r="A64" s="148"/>
      <c r="B64" s="6"/>
      <c r="C64" s="6"/>
      <c r="D64" s="183">
        <v>4</v>
      </c>
      <c r="E64" s="560" t="s">
        <v>102</v>
      </c>
      <c r="F64" s="491"/>
      <c r="G64" s="659" t="s">
        <v>293</v>
      </c>
      <c r="H64" s="660"/>
      <c r="I64" s="661"/>
      <c r="J64" s="6"/>
      <c r="K64" s="6"/>
      <c r="L64" s="148"/>
    </row>
    <row r="65" spans="1:12" ht="22.5" customHeight="1">
      <c r="A65" s="148"/>
      <c r="B65" s="6"/>
      <c r="C65" s="6"/>
      <c r="D65" s="183">
        <v>5</v>
      </c>
      <c r="E65" s="560" t="s">
        <v>103</v>
      </c>
      <c r="F65" s="491"/>
      <c r="G65" s="659" t="s">
        <v>294</v>
      </c>
      <c r="H65" s="660"/>
      <c r="I65" s="661"/>
      <c r="J65" s="6"/>
      <c r="K65" s="6"/>
      <c r="L65" s="148"/>
    </row>
    <row r="66" spans="1:12" ht="22.5" customHeight="1">
      <c r="A66" s="148"/>
      <c r="B66" s="6"/>
      <c r="C66" s="6"/>
      <c r="D66" s="183">
        <v>6</v>
      </c>
      <c r="E66" s="560" t="s">
        <v>104</v>
      </c>
      <c r="F66" s="491"/>
      <c r="G66" s="662"/>
      <c r="H66" s="660"/>
      <c r="I66" s="661"/>
      <c r="J66" s="6"/>
      <c r="K66" s="6"/>
      <c r="L66" s="148"/>
    </row>
    <row r="67" spans="1:12" ht="22.5" customHeight="1">
      <c r="A67" s="148"/>
      <c r="B67" s="6"/>
      <c r="C67" s="6"/>
      <c r="D67" s="183">
        <v>7</v>
      </c>
      <c r="E67" s="560" t="s">
        <v>295</v>
      </c>
      <c r="F67" s="491"/>
      <c r="G67" s="662"/>
      <c r="H67" s="660"/>
      <c r="I67" s="661"/>
      <c r="J67" s="6"/>
      <c r="K67" s="6"/>
      <c r="L67" s="148"/>
    </row>
    <row r="68" spans="1:12" ht="22.5" customHeight="1">
      <c r="A68" s="148"/>
      <c r="B68" s="6"/>
      <c r="C68" s="6"/>
      <c r="D68" s="183">
        <v>8</v>
      </c>
      <c r="E68" s="560" t="s">
        <v>296</v>
      </c>
      <c r="F68" s="491"/>
      <c r="G68" s="662"/>
      <c r="H68" s="660"/>
      <c r="I68" s="661"/>
      <c r="J68" s="6"/>
      <c r="K68" s="6"/>
      <c r="L68" s="148"/>
    </row>
    <row r="69" spans="1:12" ht="22.5" customHeight="1">
      <c r="A69" s="148"/>
      <c r="B69" s="6"/>
      <c r="C69" s="6"/>
      <c r="D69" s="213">
        <v>9</v>
      </c>
      <c r="E69" s="561" t="s">
        <v>297</v>
      </c>
      <c r="F69" s="515"/>
      <c r="G69" s="663"/>
      <c r="H69" s="563"/>
      <c r="I69" s="564"/>
      <c r="J69" s="6"/>
      <c r="K69" s="6"/>
      <c r="L69" s="148"/>
    </row>
    <row r="70" spans="1:12" ht="18.75" customHeight="1">
      <c r="A70" s="148"/>
      <c r="B70" s="6"/>
      <c r="C70" s="6"/>
      <c r="D70" s="6"/>
      <c r="E70" s="6"/>
      <c r="F70" s="6"/>
      <c r="G70" s="6"/>
      <c r="H70" s="6"/>
      <c r="I70" s="6"/>
      <c r="J70" s="6"/>
      <c r="K70" s="6"/>
      <c r="L70" s="148"/>
    </row>
    <row r="71" spans="1:12" ht="18.75" customHeight="1">
      <c r="A71" s="148"/>
      <c r="B71" s="6"/>
      <c r="C71" s="6"/>
      <c r="D71" s="6"/>
      <c r="E71" s="6"/>
      <c r="F71" s="6"/>
      <c r="G71" s="6"/>
      <c r="H71" s="6"/>
      <c r="I71" s="6"/>
      <c r="J71" s="6"/>
      <c r="K71" s="6"/>
      <c r="L71" s="148"/>
    </row>
    <row r="72" spans="1:12" ht="18.75" customHeight="1">
      <c r="A72" s="148"/>
      <c r="B72" s="148"/>
      <c r="C72" s="148"/>
      <c r="D72" s="148"/>
      <c r="E72" s="148"/>
      <c r="F72" s="148"/>
      <c r="G72" s="148"/>
      <c r="H72" s="148"/>
      <c r="I72" s="148"/>
      <c r="J72" s="148"/>
      <c r="K72" s="148"/>
      <c r="L72" s="148"/>
    </row>
  </sheetData>
  <mergeCells count="67">
    <mergeCell ref="E55:F55"/>
    <mergeCell ref="E56:F56"/>
    <mergeCell ref="E57:F57"/>
    <mergeCell ref="D59:E59"/>
    <mergeCell ref="E49:F49"/>
    <mergeCell ref="E50:F50"/>
    <mergeCell ref="E51:F51"/>
    <mergeCell ref="D53:F53"/>
    <mergeCell ref="E54:F54"/>
    <mergeCell ref="E43:F43"/>
    <mergeCell ref="E44:F44"/>
    <mergeCell ref="D46:F46"/>
    <mergeCell ref="E47:F47"/>
    <mergeCell ref="E48:F48"/>
    <mergeCell ref="D38:F38"/>
    <mergeCell ref="E39:F39"/>
    <mergeCell ref="E40:F40"/>
    <mergeCell ref="E41:F41"/>
    <mergeCell ref="E42:F42"/>
    <mergeCell ref="E32:F32"/>
    <mergeCell ref="E33:F33"/>
    <mergeCell ref="E34:F34"/>
    <mergeCell ref="E35:F35"/>
    <mergeCell ref="E36:F36"/>
    <mergeCell ref="D27:F27"/>
    <mergeCell ref="E28:F28"/>
    <mergeCell ref="E29:F29"/>
    <mergeCell ref="E30:F30"/>
    <mergeCell ref="E31:F31"/>
    <mergeCell ref="E21:F21"/>
    <mergeCell ref="E22:F22"/>
    <mergeCell ref="E23:F23"/>
    <mergeCell ref="E24:F24"/>
    <mergeCell ref="E25:F25"/>
    <mergeCell ref="G64:I64"/>
    <mergeCell ref="C3:C4"/>
    <mergeCell ref="E3:F4"/>
    <mergeCell ref="H3:H4"/>
    <mergeCell ref="I3:J4"/>
    <mergeCell ref="D7:E7"/>
    <mergeCell ref="D9:F9"/>
    <mergeCell ref="E10:F10"/>
    <mergeCell ref="E11:F11"/>
    <mergeCell ref="E12:F12"/>
    <mergeCell ref="D14:F14"/>
    <mergeCell ref="E15:F15"/>
    <mergeCell ref="D17:F17"/>
    <mergeCell ref="E18:F18"/>
    <mergeCell ref="E19:F19"/>
    <mergeCell ref="E20:F20"/>
    <mergeCell ref="E61:F61"/>
    <mergeCell ref="G61:I61"/>
    <mergeCell ref="E62:F62"/>
    <mergeCell ref="G62:I62"/>
    <mergeCell ref="E63:F63"/>
    <mergeCell ref="G63:I63"/>
    <mergeCell ref="E69:F69"/>
    <mergeCell ref="G65:I65"/>
    <mergeCell ref="G66:I66"/>
    <mergeCell ref="G67:I67"/>
    <mergeCell ref="G68:I68"/>
    <mergeCell ref="G69:I69"/>
    <mergeCell ref="E64:F64"/>
    <mergeCell ref="E65:F65"/>
    <mergeCell ref="E66:F66"/>
    <mergeCell ref="E67:F67"/>
    <mergeCell ref="E68:F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A86E8"/>
    <outlinePr summaryBelow="0" summaryRight="0"/>
  </sheetPr>
  <dimension ref="A1:L58"/>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18.542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609" t="s">
        <v>137</v>
      </c>
      <c r="D3" s="149"/>
      <c r="E3" s="438"/>
      <c r="F3" s="437"/>
      <c r="G3" s="6"/>
      <c r="H3" s="620" t="s">
        <v>131</v>
      </c>
      <c r="I3" s="588" t="s">
        <v>111</v>
      </c>
      <c r="J3" s="437"/>
      <c r="K3" s="6"/>
      <c r="L3" s="148"/>
    </row>
    <row r="4" spans="1:12" ht="37.5" customHeight="1">
      <c r="A4" s="148"/>
      <c r="B4" s="6"/>
      <c r="C4" s="610"/>
      <c r="D4" s="149"/>
      <c r="E4" s="437"/>
      <c r="F4" s="437"/>
      <c r="G4" s="6"/>
      <c r="H4" s="610"/>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598" t="s">
        <v>139</v>
      </c>
      <c r="E7" s="437"/>
      <c r="F7" s="6"/>
      <c r="G7" s="155" t="s">
        <v>46</v>
      </c>
      <c r="H7" s="155" t="s">
        <v>11</v>
      </c>
      <c r="I7" s="155" t="s">
        <v>47</v>
      </c>
      <c r="J7" s="6"/>
      <c r="K7" s="6"/>
      <c r="L7" s="148"/>
    </row>
    <row r="8" spans="1:12" ht="12.5">
      <c r="A8" s="148"/>
      <c r="B8" s="6"/>
      <c r="C8" s="6"/>
      <c r="J8" s="6"/>
      <c r="K8" s="6"/>
      <c r="L8" s="148"/>
    </row>
    <row r="9" spans="1:12" ht="37.5" customHeight="1">
      <c r="A9" s="148"/>
      <c r="B9" s="6"/>
      <c r="C9" s="6"/>
      <c r="D9" s="612" t="s">
        <v>140</v>
      </c>
      <c r="E9" s="613"/>
      <c r="F9" s="613"/>
      <c r="G9" s="167"/>
      <c r="H9" s="167"/>
      <c r="I9" s="168"/>
      <c r="J9" s="6"/>
      <c r="K9" s="6"/>
      <c r="L9" s="148"/>
    </row>
    <row r="10" spans="1:12" ht="22.5" customHeight="1">
      <c r="A10" s="148"/>
      <c r="B10" s="6"/>
      <c r="C10" s="6"/>
      <c r="D10" s="186">
        <v>2</v>
      </c>
      <c r="E10" s="490" t="s">
        <v>141</v>
      </c>
      <c r="F10" s="491"/>
      <c r="G10" s="184">
        <v>250000</v>
      </c>
      <c r="H10" s="184">
        <v>500000</v>
      </c>
      <c r="I10" s="187">
        <v>1250000</v>
      </c>
      <c r="J10" s="6"/>
      <c r="K10" s="6"/>
      <c r="L10" s="148"/>
    </row>
    <row r="11" spans="1:12" ht="22.5" customHeight="1">
      <c r="A11" s="148"/>
      <c r="B11" s="6"/>
      <c r="C11" s="6"/>
      <c r="D11" s="186">
        <v>3</v>
      </c>
      <c r="E11" s="490" t="s">
        <v>70</v>
      </c>
      <c r="F11" s="491"/>
      <c r="G11" s="202">
        <v>1</v>
      </c>
      <c r="H11" s="202">
        <v>5</v>
      </c>
      <c r="I11" s="203" t="s">
        <v>71</v>
      </c>
      <c r="J11" s="6"/>
      <c r="K11" s="6"/>
      <c r="L11" s="148"/>
    </row>
    <row r="12" spans="1:12" ht="22.5" customHeight="1">
      <c r="A12" s="148"/>
      <c r="B12" s="6"/>
      <c r="C12" s="6"/>
      <c r="D12" s="216">
        <v>4</v>
      </c>
      <c r="E12" s="528" t="s">
        <v>73</v>
      </c>
      <c r="F12" s="529"/>
      <c r="G12" s="217">
        <v>5</v>
      </c>
      <c r="H12" s="217">
        <v>15</v>
      </c>
      <c r="I12" s="218" t="s">
        <v>71</v>
      </c>
      <c r="J12" s="6"/>
      <c r="K12" s="6"/>
      <c r="L12" s="148"/>
    </row>
    <row r="13" spans="1:12" ht="12.5">
      <c r="A13" s="148"/>
      <c r="B13" s="6"/>
      <c r="C13" s="6"/>
      <c r="D13" s="6"/>
      <c r="E13" s="6"/>
      <c r="F13" s="6"/>
      <c r="G13" s="6"/>
      <c r="H13" s="6"/>
      <c r="I13" s="6"/>
      <c r="J13" s="6"/>
      <c r="K13" s="6"/>
      <c r="L13" s="148"/>
    </row>
    <row r="14" spans="1:12" ht="37.5" customHeight="1">
      <c r="A14" s="148"/>
      <c r="B14" s="6"/>
      <c r="C14" s="6"/>
      <c r="D14" s="530" t="s">
        <v>150</v>
      </c>
      <c r="E14" s="531"/>
      <c r="F14" s="531"/>
      <c r="G14" s="228"/>
      <c r="H14" s="228"/>
      <c r="I14" s="229"/>
      <c r="J14" s="6"/>
      <c r="K14" s="6"/>
      <c r="L14" s="148"/>
    </row>
    <row r="15" spans="1:12" ht="22.5" customHeight="1">
      <c r="A15" s="148"/>
      <c r="B15" s="6"/>
      <c r="C15" s="6"/>
      <c r="D15" s="244">
        <v>1</v>
      </c>
      <c r="E15" s="504" t="s">
        <v>157</v>
      </c>
      <c r="F15" s="505"/>
      <c r="G15" s="245" t="b">
        <v>1</v>
      </c>
      <c r="H15" s="245" t="b">
        <v>1</v>
      </c>
      <c r="I15" s="246" t="b">
        <v>1</v>
      </c>
      <c r="J15" s="6"/>
      <c r="K15" s="6"/>
      <c r="L15" s="148"/>
    </row>
    <row r="16" spans="1:12" ht="22.5" customHeight="1">
      <c r="A16" s="148"/>
      <c r="B16" s="6"/>
      <c r="C16" s="6"/>
      <c r="D16" s="258">
        <v>2</v>
      </c>
      <c r="E16" s="599" t="s">
        <v>163</v>
      </c>
      <c r="F16" s="600"/>
      <c r="G16" s="259" t="b">
        <v>1</v>
      </c>
      <c r="H16" s="259" t="b">
        <v>1</v>
      </c>
      <c r="I16" s="260" t="b">
        <v>1</v>
      </c>
      <c r="J16" s="6"/>
      <c r="K16" s="6"/>
      <c r="L16" s="148"/>
    </row>
    <row r="17" spans="1:12" ht="22.5" customHeight="1">
      <c r="A17" s="148"/>
      <c r="B17" s="6"/>
      <c r="C17" s="6"/>
      <c r="D17" s="264">
        <v>3</v>
      </c>
      <c r="E17" s="601" t="s">
        <v>170</v>
      </c>
      <c r="F17" s="602"/>
      <c r="G17" s="265" t="b">
        <v>1</v>
      </c>
      <c r="H17" s="265" t="b">
        <v>1</v>
      </c>
      <c r="I17" s="266" t="b">
        <v>1</v>
      </c>
      <c r="J17" s="6"/>
      <c r="K17" s="6"/>
      <c r="L17" s="148"/>
    </row>
    <row r="18" spans="1:12" ht="12.5">
      <c r="A18" s="148"/>
      <c r="B18" s="6"/>
      <c r="C18" s="6"/>
      <c r="D18" s="6"/>
      <c r="E18" s="6"/>
      <c r="F18" s="6"/>
      <c r="G18" s="6"/>
      <c r="H18" s="6"/>
      <c r="I18" s="6"/>
      <c r="J18" s="6"/>
      <c r="K18" s="6"/>
      <c r="L18" s="148"/>
    </row>
    <row r="19" spans="1:12" ht="37.5" customHeight="1">
      <c r="A19" s="148"/>
      <c r="B19" s="6"/>
      <c r="C19" s="6"/>
      <c r="D19" s="530" t="s">
        <v>183</v>
      </c>
      <c r="E19" s="531"/>
      <c r="F19" s="531"/>
      <c r="G19" s="228"/>
      <c r="H19" s="228"/>
      <c r="I19" s="229"/>
      <c r="J19" s="6"/>
      <c r="K19" s="6"/>
      <c r="L19" s="148"/>
    </row>
    <row r="20" spans="1:12" ht="22.5" customHeight="1">
      <c r="A20" s="148"/>
      <c r="B20" s="6"/>
      <c r="C20" s="6"/>
      <c r="D20" s="244">
        <v>1</v>
      </c>
      <c r="E20" s="504" t="s">
        <v>188</v>
      </c>
      <c r="F20" s="505"/>
      <c r="G20" s="245" t="b">
        <v>1</v>
      </c>
      <c r="H20" s="245" t="b">
        <v>1</v>
      </c>
      <c r="I20" s="246" t="b">
        <v>1</v>
      </c>
      <c r="J20" s="6"/>
      <c r="K20" s="6"/>
      <c r="L20" s="148"/>
    </row>
    <row r="21" spans="1:12" ht="22.5" customHeight="1">
      <c r="A21" s="148"/>
      <c r="B21" s="6"/>
      <c r="C21" s="6"/>
      <c r="D21" s="258">
        <v>2</v>
      </c>
      <c r="E21" s="599" t="s">
        <v>194</v>
      </c>
      <c r="F21" s="600"/>
      <c r="G21" s="280" t="s">
        <v>58</v>
      </c>
      <c r="H21" s="259" t="b">
        <v>1</v>
      </c>
      <c r="I21" s="260" t="b">
        <v>1</v>
      </c>
      <c r="J21" s="6"/>
      <c r="K21" s="6"/>
      <c r="L21" s="148"/>
    </row>
    <row r="22" spans="1:12" ht="22.5" customHeight="1">
      <c r="A22" s="148"/>
      <c r="B22" s="6"/>
      <c r="C22" s="6"/>
      <c r="D22" s="264">
        <v>3</v>
      </c>
      <c r="E22" s="601" t="s">
        <v>201</v>
      </c>
      <c r="F22" s="602"/>
      <c r="G22" s="281" t="s">
        <v>58</v>
      </c>
      <c r="H22" s="265" t="b">
        <v>1</v>
      </c>
      <c r="I22" s="266" t="b">
        <v>1</v>
      </c>
      <c r="J22" s="6"/>
      <c r="K22" s="6"/>
      <c r="L22" s="148"/>
    </row>
    <row r="23" spans="1:12" ht="12.5">
      <c r="A23" s="148"/>
      <c r="B23" s="6"/>
      <c r="C23" s="6"/>
      <c r="D23" s="6"/>
      <c r="E23" s="6"/>
      <c r="F23" s="6"/>
      <c r="G23" s="6"/>
      <c r="H23" s="6"/>
      <c r="I23" s="6"/>
      <c r="J23" s="6"/>
      <c r="K23" s="6"/>
      <c r="L23" s="148"/>
    </row>
    <row r="24" spans="1:12" ht="37.5" customHeight="1">
      <c r="A24" s="148"/>
      <c r="B24" s="6"/>
      <c r="C24" s="6"/>
      <c r="D24" s="530" t="s">
        <v>213</v>
      </c>
      <c r="E24" s="531"/>
      <c r="F24" s="531"/>
      <c r="G24" s="292"/>
      <c r="H24" s="292"/>
      <c r="I24" s="293"/>
      <c r="J24" s="6"/>
      <c r="K24" s="6"/>
      <c r="L24" s="148"/>
    </row>
    <row r="25" spans="1:12" ht="22.5" customHeight="1">
      <c r="A25" s="148"/>
      <c r="B25" s="6"/>
      <c r="C25" s="6"/>
      <c r="D25" s="244">
        <v>1</v>
      </c>
      <c r="E25" s="504" t="s">
        <v>77</v>
      </c>
      <c r="F25" s="505"/>
      <c r="G25" s="245" t="b">
        <v>1</v>
      </c>
      <c r="H25" s="245" t="b">
        <v>1</v>
      </c>
      <c r="I25" s="246" t="b">
        <v>1</v>
      </c>
      <c r="J25" s="6"/>
      <c r="K25" s="6"/>
      <c r="L25" s="148"/>
    </row>
    <row r="26" spans="1:12" ht="22.5" customHeight="1">
      <c r="A26" s="148"/>
      <c r="B26" s="6"/>
      <c r="C26" s="6"/>
      <c r="D26" s="258">
        <v>2</v>
      </c>
      <c r="E26" s="599" t="s">
        <v>79</v>
      </c>
      <c r="F26" s="600"/>
      <c r="G26" s="259" t="b">
        <v>1</v>
      </c>
      <c r="H26" s="259" t="b">
        <v>1</v>
      </c>
      <c r="I26" s="260" t="b">
        <v>1</v>
      </c>
      <c r="J26" s="6"/>
      <c r="K26" s="6"/>
      <c r="L26" s="148"/>
    </row>
    <row r="27" spans="1:12" ht="22.5" customHeight="1">
      <c r="A27" s="148"/>
      <c r="B27" s="6"/>
      <c r="C27" s="6"/>
      <c r="D27" s="258">
        <v>3</v>
      </c>
      <c r="E27" s="599" t="s">
        <v>80</v>
      </c>
      <c r="F27" s="600"/>
      <c r="G27" s="259" t="b">
        <v>1</v>
      </c>
      <c r="H27" s="259" t="b">
        <v>1</v>
      </c>
      <c r="I27" s="260" t="b">
        <v>1</v>
      </c>
      <c r="J27" s="6"/>
      <c r="K27" s="6"/>
      <c r="L27" s="148"/>
    </row>
    <row r="28" spans="1:12" ht="22.5" customHeight="1">
      <c r="A28" s="148"/>
      <c r="B28" s="6"/>
      <c r="C28" s="6"/>
      <c r="D28" s="258">
        <v>4</v>
      </c>
      <c r="E28" s="599" t="s">
        <v>81</v>
      </c>
      <c r="F28" s="600"/>
      <c r="G28" s="280" t="s">
        <v>58</v>
      </c>
      <c r="H28" s="259" t="b">
        <v>1</v>
      </c>
      <c r="I28" s="260" t="b">
        <v>1</v>
      </c>
      <c r="J28" s="6"/>
      <c r="K28" s="6"/>
      <c r="L28" s="148"/>
    </row>
    <row r="29" spans="1:12" ht="22.5" customHeight="1">
      <c r="A29" s="148"/>
      <c r="B29" s="6"/>
      <c r="C29" s="6"/>
      <c r="D29" s="258">
        <v>5</v>
      </c>
      <c r="E29" s="599" t="s">
        <v>82</v>
      </c>
      <c r="F29" s="600"/>
      <c r="G29" s="280" t="s">
        <v>58</v>
      </c>
      <c r="H29" s="259" t="b">
        <v>1</v>
      </c>
      <c r="I29" s="260" t="b">
        <v>1</v>
      </c>
      <c r="J29" s="6"/>
      <c r="K29" s="6"/>
      <c r="L29" s="148"/>
    </row>
    <row r="30" spans="1:12" ht="22.5" customHeight="1">
      <c r="A30" s="148"/>
      <c r="B30" s="6"/>
      <c r="C30" s="6"/>
      <c r="D30" s="264">
        <v>6</v>
      </c>
      <c r="E30" s="601" t="s">
        <v>83</v>
      </c>
      <c r="F30" s="602"/>
      <c r="G30" s="281" t="s">
        <v>58</v>
      </c>
      <c r="H30" s="281" t="s">
        <v>58</v>
      </c>
      <c r="I30" s="266" t="b">
        <v>1</v>
      </c>
      <c r="J30" s="6"/>
      <c r="K30" s="6"/>
      <c r="L30" s="148"/>
    </row>
    <row r="31" spans="1:12" ht="12.5">
      <c r="A31" s="148"/>
      <c r="B31" s="6"/>
      <c r="C31" s="6"/>
      <c r="D31" s="6"/>
      <c r="E31" s="6"/>
      <c r="F31" s="6"/>
      <c r="G31" s="316"/>
      <c r="H31" s="316"/>
      <c r="I31" s="316"/>
      <c r="J31" s="6"/>
      <c r="K31" s="6"/>
      <c r="L31" s="148"/>
    </row>
    <row r="32" spans="1:12" ht="37.5" customHeight="1">
      <c r="A32" s="148"/>
      <c r="B32" s="6"/>
      <c r="C32" s="6"/>
      <c r="D32" s="530" t="s">
        <v>248</v>
      </c>
      <c r="E32" s="531"/>
      <c r="F32" s="531"/>
      <c r="G32" s="318"/>
      <c r="H32" s="318"/>
      <c r="I32" s="319"/>
      <c r="J32" s="6"/>
      <c r="K32" s="6"/>
      <c r="L32" s="148"/>
    </row>
    <row r="33" spans="1:12" ht="22.5" customHeight="1">
      <c r="A33" s="148"/>
      <c r="B33" s="6"/>
      <c r="C33" s="6"/>
      <c r="D33" s="244">
        <v>1</v>
      </c>
      <c r="E33" s="504" t="s">
        <v>86</v>
      </c>
      <c r="F33" s="505"/>
      <c r="G33" s="245" t="b">
        <v>1</v>
      </c>
      <c r="H33" s="245" t="b">
        <v>1</v>
      </c>
      <c r="I33" s="246" t="b">
        <v>1</v>
      </c>
      <c r="J33" s="6"/>
      <c r="K33" s="6"/>
      <c r="L33" s="148"/>
    </row>
    <row r="34" spans="1:12" ht="22.5" customHeight="1">
      <c r="A34" s="148"/>
      <c r="B34" s="6"/>
      <c r="C34" s="6"/>
      <c r="D34" s="258">
        <v>2</v>
      </c>
      <c r="E34" s="599" t="s">
        <v>87</v>
      </c>
      <c r="F34" s="600"/>
      <c r="G34" s="259" t="b">
        <v>1</v>
      </c>
      <c r="H34" s="259" t="b">
        <v>1</v>
      </c>
      <c r="I34" s="260" t="b">
        <v>1</v>
      </c>
      <c r="J34" s="6"/>
      <c r="K34" s="6"/>
      <c r="L34" s="148"/>
    </row>
    <row r="35" spans="1:12" ht="22.5" customHeight="1">
      <c r="A35" s="148"/>
      <c r="B35" s="6"/>
      <c r="C35" s="6"/>
      <c r="D35" s="258">
        <v>3</v>
      </c>
      <c r="E35" s="599" t="s">
        <v>88</v>
      </c>
      <c r="F35" s="600"/>
      <c r="G35" s="259" t="b">
        <v>1</v>
      </c>
      <c r="H35" s="259" t="b">
        <v>1</v>
      </c>
      <c r="I35" s="260" t="b">
        <v>1</v>
      </c>
      <c r="J35" s="6"/>
      <c r="K35" s="6"/>
      <c r="L35" s="148"/>
    </row>
    <row r="36" spans="1:12" ht="22.5" customHeight="1">
      <c r="A36" s="148"/>
      <c r="B36" s="6"/>
      <c r="C36" s="6"/>
      <c r="D36" s="258">
        <v>4</v>
      </c>
      <c r="E36" s="599" t="s">
        <v>89</v>
      </c>
      <c r="F36" s="600"/>
      <c r="G36" s="280" t="s">
        <v>58</v>
      </c>
      <c r="H36" s="259" t="b">
        <v>1</v>
      </c>
      <c r="I36" s="260" t="b">
        <v>1</v>
      </c>
      <c r="J36" s="6"/>
      <c r="K36" s="6"/>
      <c r="L36" s="148"/>
    </row>
    <row r="37" spans="1:12" ht="22.5" customHeight="1">
      <c r="A37" s="148"/>
      <c r="B37" s="6"/>
      <c r="C37" s="6"/>
      <c r="D37" s="264">
        <v>5</v>
      </c>
      <c r="E37" s="601" t="s">
        <v>90</v>
      </c>
      <c r="F37" s="602"/>
      <c r="G37" s="281" t="s">
        <v>58</v>
      </c>
      <c r="H37" s="281" t="s">
        <v>58</v>
      </c>
      <c r="I37" s="266" t="b">
        <v>1</v>
      </c>
      <c r="J37" s="6"/>
      <c r="K37" s="6"/>
      <c r="L37" s="148"/>
    </row>
    <row r="38" spans="1:12" ht="12.5">
      <c r="A38" s="148"/>
      <c r="B38" s="6"/>
      <c r="C38" s="6"/>
      <c r="D38" s="6"/>
      <c r="E38" s="6"/>
      <c r="F38" s="6"/>
      <c r="G38" s="6"/>
      <c r="H38" s="6"/>
      <c r="I38" s="6"/>
      <c r="J38" s="6"/>
      <c r="K38" s="6"/>
      <c r="L38" s="148"/>
    </row>
    <row r="39" spans="1:12" ht="37.5" customHeight="1">
      <c r="A39" s="148"/>
      <c r="B39" s="6"/>
      <c r="C39" s="6"/>
      <c r="D39" s="530" t="s">
        <v>288</v>
      </c>
      <c r="E39" s="531"/>
      <c r="F39" s="531"/>
      <c r="G39" s="228"/>
      <c r="H39" s="228"/>
      <c r="I39" s="229"/>
      <c r="J39" s="6"/>
      <c r="K39" s="6"/>
      <c r="L39" s="148"/>
    </row>
    <row r="40" spans="1:12" ht="22.5" customHeight="1">
      <c r="A40" s="148"/>
      <c r="B40" s="6"/>
      <c r="C40" s="6"/>
      <c r="D40" s="244">
        <v>1</v>
      </c>
      <c r="E40" s="504" t="s">
        <v>92</v>
      </c>
      <c r="F40" s="505"/>
      <c r="G40" s="373">
        <v>5000000</v>
      </c>
      <c r="H40" s="373">
        <v>5000000</v>
      </c>
      <c r="I40" s="374">
        <v>5000000</v>
      </c>
      <c r="J40" s="6"/>
      <c r="K40" s="6"/>
      <c r="L40" s="148"/>
    </row>
    <row r="41" spans="1:12" ht="22.5" customHeight="1">
      <c r="A41" s="148"/>
      <c r="B41" s="6"/>
      <c r="C41" s="6"/>
      <c r="D41" s="258">
        <v>2</v>
      </c>
      <c r="E41" s="599" t="s">
        <v>31</v>
      </c>
      <c r="F41" s="600"/>
      <c r="G41" s="375" t="s">
        <v>289</v>
      </c>
      <c r="H41" s="375" t="s">
        <v>289</v>
      </c>
      <c r="I41" s="376" t="s">
        <v>289</v>
      </c>
      <c r="J41" s="6"/>
      <c r="K41" s="6"/>
      <c r="L41" s="148"/>
    </row>
    <row r="42" spans="1:12" ht="22.5" customHeight="1">
      <c r="A42" s="148"/>
      <c r="B42" s="6"/>
      <c r="C42" s="6"/>
      <c r="D42" s="258">
        <v>3</v>
      </c>
      <c r="E42" s="599" t="s">
        <v>94</v>
      </c>
      <c r="F42" s="600"/>
      <c r="G42" s="375" t="s">
        <v>289</v>
      </c>
      <c r="H42" s="375" t="s">
        <v>289</v>
      </c>
      <c r="I42" s="376" t="s">
        <v>289</v>
      </c>
      <c r="J42" s="6"/>
      <c r="K42" s="6"/>
      <c r="L42" s="148"/>
    </row>
    <row r="43" spans="1:12" ht="22.5" customHeight="1">
      <c r="A43" s="148"/>
      <c r="B43" s="6"/>
      <c r="C43" s="6"/>
      <c r="D43" s="264">
        <v>4</v>
      </c>
      <c r="E43" s="601" t="s">
        <v>95</v>
      </c>
      <c r="F43" s="602"/>
      <c r="G43" s="377" t="s">
        <v>289</v>
      </c>
      <c r="H43" s="377" t="s">
        <v>289</v>
      </c>
      <c r="I43" s="378" t="s">
        <v>289</v>
      </c>
      <c r="J43" s="6"/>
      <c r="K43" s="6"/>
      <c r="L43" s="148"/>
    </row>
    <row r="44" spans="1:12" ht="12.5">
      <c r="A44" s="148"/>
      <c r="B44" s="6"/>
      <c r="C44" s="6"/>
      <c r="D44" s="6"/>
      <c r="E44" s="6"/>
      <c r="F44" s="6"/>
      <c r="G44" s="6"/>
      <c r="H44" s="6"/>
      <c r="I44" s="6"/>
      <c r="J44" s="6"/>
      <c r="K44" s="6"/>
      <c r="L44" s="148"/>
    </row>
    <row r="45" spans="1:12" ht="22.5" customHeight="1">
      <c r="A45" s="148"/>
      <c r="B45" s="6"/>
      <c r="C45" s="18"/>
      <c r="D45" s="598" t="s">
        <v>290</v>
      </c>
      <c r="E45" s="437"/>
      <c r="F45" s="6"/>
      <c r="G45" s="6"/>
      <c r="H45" s="6"/>
      <c r="I45" s="6"/>
      <c r="J45" s="6"/>
      <c r="K45" s="6"/>
      <c r="L45" s="148"/>
    </row>
    <row r="46" spans="1:12" ht="18.75" customHeight="1">
      <c r="A46" s="148"/>
      <c r="B46" s="6"/>
      <c r="C46" s="6"/>
      <c r="D46" s="6"/>
      <c r="E46" s="6"/>
      <c r="F46" s="6"/>
      <c r="G46" s="6"/>
      <c r="H46" s="6"/>
      <c r="I46" s="6"/>
      <c r="J46" s="6"/>
      <c r="K46" s="6"/>
      <c r="L46" s="148"/>
    </row>
    <row r="47" spans="1:12" ht="22.5" customHeight="1">
      <c r="A47" s="148"/>
      <c r="B47" s="6"/>
      <c r="C47" s="6"/>
      <c r="D47" s="379">
        <v>1</v>
      </c>
      <c r="E47" s="669" t="s">
        <v>97</v>
      </c>
      <c r="F47" s="670"/>
      <c r="G47" s="671" t="s">
        <v>98</v>
      </c>
      <c r="H47" s="672"/>
      <c r="I47" s="673"/>
      <c r="J47" s="6"/>
      <c r="K47" s="6"/>
      <c r="L47" s="148"/>
    </row>
    <row r="48" spans="1:12" ht="22.5" customHeight="1">
      <c r="A48" s="148"/>
      <c r="B48" s="6"/>
      <c r="C48" s="6"/>
      <c r="D48" s="258">
        <v>2</v>
      </c>
      <c r="E48" s="599" t="s">
        <v>99</v>
      </c>
      <c r="F48" s="600"/>
      <c r="G48" s="674" t="s">
        <v>291</v>
      </c>
      <c r="H48" s="675"/>
      <c r="I48" s="676"/>
      <c r="J48" s="6"/>
      <c r="K48" s="6"/>
      <c r="L48" s="148"/>
    </row>
    <row r="49" spans="1:12" ht="22.5" customHeight="1">
      <c r="A49" s="148"/>
      <c r="B49" s="6"/>
      <c r="C49" s="6"/>
      <c r="D49" s="258">
        <v>3</v>
      </c>
      <c r="E49" s="599" t="s">
        <v>101</v>
      </c>
      <c r="F49" s="600"/>
      <c r="G49" s="674" t="s">
        <v>292</v>
      </c>
      <c r="H49" s="675"/>
      <c r="I49" s="676"/>
      <c r="J49" s="6"/>
      <c r="K49" s="6"/>
      <c r="L49" s="148"/>
    </row>
    <row r="50" spans="1:12" ht="22.5" customHeight="1">
      <c r="A50" s="148"/>
      <c r="B50" s="6"/>
      <c r="C50" s="6"/>
      <c r="D50" s="258">
        <v>4</v>
      </c>
      <c r="E50" s="599" t="s">
        <v>102</v>
      </c>
      <c r="F50" s="600"/>
      <c r="G50" s="674" t="s">
        <v>293</v>
      </c>
      <c r="H50" s="675"/>
      <c r="I50" s="676"/>
      <c r="J50" s="6"/>
      <c r="K50" s="6"/>
      <c r="L50" s="148"/>
    </row>
    <row r="51" spans="1:12" ht="22.5" customHeight="1">
      <c r="A51" s="148"/>
      <c r="B51" s="6"/>
      <c r="C51" s="6"/>
      <c r="D51" s="258">
        <v>5</v>
      </c>
      <c r="E51" s="599" t="s">
        <v>103</v>
      </c>
      <c r="F51" s="600"/>
      <c r="G51" s="674" t="s">
        <v>294</v>
      </c>
      <c r="H51" s="675"/>
      <c r="I51" s="676"/>
      <c r="J51" s="6"/>
      <c r="K51" s="6"/>
      <c r="L51" s="148"/>
    </row>
    <row r="52" spans="1:12" ht="22.5" customHeight="1">
      <c r="A52" s="148"/>
      <c r="B52" s="6"/>
      <c r="C52" s="6"/>
      <c r="D52" s="258">
        <v>6</v>
      </c>
      <c r="E52" s="599" t="s">
        <v>104</v>
      </c>
      <c r="F52" s="600"/>
      <c r="G52" s="677"/>
      <c r="H52" s="675"/>
      <c r="I52" s="676"/>
      <c r="J52" s="6"/>
      <c r="K52" s="6"/>
      <c r="L52" s="148"/>
    </row>
    <row r="53" spans="1:12" ht="22.5" customHeight="1">
      <c r="A53" s="148"/>
      <c r="B53" s="6"/>
      <c r="C53" s="6"/>
      <c r="D53" s="258">
        <v>7</v>
      </c>
      <c r="E53" s="599" t="s">
        <v>295</v>
      </c>
      <c r="F53" s="600"/>
      <c r="G53" s="677"/>
      <c r="H53" s="675"/>
      <c r="I53" s="676"/>
      <c r="J53" s="6"/>
      <c r="K53" s="6"/>
      <c r="L53" s="148"/>
    </row>
    <row r="54" spans="1:12" ht="22.5" customHeight="1">
      <c r="A54" s="148"/>
      <c r="B54" s="6"/>
      <c r="C54" s="6"/>
      <c r="D54" s="258">
        <v>8</v>
      </c>
      <c r="E54" s="599" t="s">
        <v>296</v>
      </c>
      <c r="F54" s="600"/>
      <c r="G54" s="677"/>
      <c r="H54" s="675"/>
      <c r="I54" s="676"/>
      <c r="J54" s="6"/>
      <c r="K54" s="6"/>
      <c r="L54" s="148"/>
    </row>
    <row r="55" spans="1:12" ht="22.5" customHeight="1">
      <c r="A55" s="148"/>
      <c r="B55" s="6"/>
      <c r="C55" s="6"/>
      <c r="D55" s="264">
        <v>9</v>
      </c>
      <c r="E55" s="601" t="s">
        <v>297</v>
      </c>
      <c r="F55" s="602"/>
      <c r="G55" s="678"/>
      <c r="H55" s="631"/>
      <c r="I55" s="632"/>
      <c r="J55" s="6"/>
      <c r="K55" s="6"/>
      <c r="L55" s="148"/>
    </row>
    <row r="56" spans="1:12" ht="18.75" customHeight="1">
      <c r="A56" s="148"/>
      <c r="B56" s="6"/>
      <c r="C56" s="6"/>
      <c r="D56" s="6"/>
      <c r="E56" s="6"/>
      <c r="F56" s="6"/>
      <c r="G56" s="6"/>
      <c r="H56" s="6"/>
      <c r="I56" s="6"/>
      <c r="J56" s="6"/>
      <c r="K56" s="6"/>
      <c r="L56" s="148"/>
    </row>
    <row r="57" spans="1:12" ht="18.75" customHeight="1">
      <c r="A57" s="148"/>
      <c r="B57" s="6"/>
      <c r="C57" s="6"/>
      <c r="D57" s="6"/>
      <c r="E57" s="6"/>
      <c r="F57" s="6"/>
      <c r="G57" s="6"/>
      <c r="H57" s="6"/>
      <c r="I57" s="6"/>
      <c r="J57" s="6"/>
      <c r="K57" s="6"/>
      <c r="L57" s="148"/>
    </row>
    <row r="58" spans="1:12" ht="18.75" customHeight="1">
      <c r="A58" s="148"/>
      <c r="B58" s="148"/>
      <c r="C58" s="148"/>
      <c r="D58" s="148"/>
      <c r="E58" s="148"/>
      <c r="F58" s="148"/>
      <c r="G58" s="148"/>
      <c r="H58" s="148"/>
      <c r="I58" s="148"/>
      <c r="J58" s="148"/>
      <c r="K58" s="148"/>
      <c r="L58" s="148"/>
    </row>
  </sheetData>
  <mergeCells count="54">
    <mergeCell ref="E49:F49"/>
    <mergeCell ref="G49:I49"/>
    <mergeCell ref="E53:F53"/>
    <mergeCell ref="E54:F54"/>
    <mergeCell ref="E55:F55"/>
    <mergeCell ref="G54:I54"/>
    <mergeCell ref="G55:I55"/>
    <mergeCell ref="E50:F50"/>
    <mergeCell ref="G50:I50"/>
    <mergeCell ref="E51:F51"/>
    <mergeCell ref="G51:I51"/>
    <mergeCell ref="E52:F52"/>
    <mergeCell ref="G52:I52"/>
    <mergeCell ref="G53:I53"/>
    <mergeCell ref="D45:E45"/>
    <mergeCell ref="E47:F47"/>
    <mergeCell ref="G47:I47"/>
    <mergeCell ref="E48:F48"/>
    <mergeCell ref="G48:I48"/>
    <mergeCell ref="D39:F39"/>
    <mergeCell ref="E40:F40"/>
    <mergeCell ref="E41:F41"/>
    <mergeCell ref="E42:F42"/>
    <mergeCell ref="E43:F43"/>
    <mergeCell ref="E33:F33"/>
    <mergeCell ref="E34:F34"/>
    <mergeCell ref="E35:F35"/>
    <mergeCell ref="E36:F36"/>
    <mergeCell ref="E37:F37"/>
    <mergeCell ref="E27:F27"/>
    <mergeCell ref="E28:F28"/>
    <mergeCell ref="E29:F29"/>
    <mergeCell ref="E30:F30"/>
    <mergeCell ref="D32:F32"/>
    <mergeCell ref="E21:F21"/>
    <mergeCell ref="E22:F22"/>
    <mergeCell ref="D24:F24"/>
    <mergeCell ref="E25:F25"/>
    <mergeCell ref="E26:F26"/>
    <mergeCell ref="E15:F15"/>
    <mergeCell ref="E16:F16"/>
    <mergeCell ref="E17:F17"/>
    <mergeCell ref="D19:F19"/>
    <mergeCell ref="E20:F20"/>
    <mergeCell ref="D9:F9"/>
    <mergeCell ref="E10:F10"/>
    <mergeCell ref="E11:F11"/>
    <mergeCell ref="E12:F12"/>
    <mergeCell ref="D14:F14"/>
    <mergeCell ref="C3:C4"/>
    <mergeCell ref="E3:F4"/>
    <mergeCell ref="H3:H4"/>
    <mergeCell ref="I3:J4"/>
    <mergeCell ref="D7:E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4A86E8"/>
    <outlinePr summaryBelow="0" summaryRight="0"/>
  </sheetPr>
  <dimension ref="A1:L60"/>
  <sheetViews>
    <sheetView showGridLines="0" workbookViewId="0"/>
  </sheetViews>
  <sheetFormatPr defaultColWidth="12.54296875" defaultRowHeight="15.75" customHeight="1"/>
  <cols>
    <col min="1" max="2" width="3.26953125" customWidth="1"/>
    <col min="3" max="3" width="18.81640625" customWidth="1"/>
    <col min="4" max="4" width="3.26953125" customWidth="1"/>
    <col min="5" max="6" width="18.54296875" customWidth="1"/>
    <col min="10" max="10" width="18.81640625" customWidth="1"/>
    <col min="11" max="12" width="3.26953125" customWidth="1"/>
  </cols>
  <sheetData>
    <row r="1" spans="1:12" ht="18.75" customHeight="1">
      <c r="A1" s="148"/>
      <c r="B1" s="148"/>
      <c r="C1" s="148"/>
      <c r="D1" s="148"/>
      <c r="E1" s="148"/>
      <c r="F1" s="148"/>
      <c r="G1" s="148"/>
      <c r="H1" s="148"/>
      <c r="I1" s="148"/>
      <c r="J1" s="148"/>
      <c r="K1" s="148"/>
      <c r="L1" s="148"/>
    </row>
    <row r="2" spans="1:12" ht="12.5">
      <c r="A2" s="148"/>
      <c r="B2" s="6"/>
      <c r="C2" s="6"/>
      <c r="D2" s="6"/>
      <c r="E2" s="6"/>
      <c r="F2" s="6"/>
      <c r="G2" s="6"/>
      <c r="H2" s="6"/>
      <c r="I2" s="6"/>
      <c r="J2" s="6"/>
      <c r="K2" s="6"/>
      <c r="L2" s="148"/>
    </row>
    <row r="3" spans="1:12" ht="37.5" customHeight="1">
      <c r="A3" s="148"/>
      <c r="B3" s="6"/>
      <c r="C3" s="621" t="s">
        <v>138</v>
      </c>
      <c r="D3" s="149"/>
      <c r="E3" s="438"/>
      <c r="F3" s="437"/>
      <c r="G3" s="6"/>
      <c r="H3" s="603" t="s">
        <v>131</v>
      </c>
      <c r="I3" s="588" t="s">
        <v>114</v>
      </c>
      <c r="J3" s="437"/>
      <c r="K3" s="6"/>
      <c r="L3" s="148"/>
    </row>
    <row r="4" spans="1:12" ht="37.5" customHeight="1">
      <c r="A4" s="148"/>
      <c r="B4" s="6"/>
      <c r="C4" s="604"/>
      <c r="D4" s="149"/>
      <c r="E4" s="437"/>
      <c r="F4" s="437"/>
      <c r="G4" s="6"/>
      <c r="H4" s="604"/>
      <c r="I4" s="437"/>
      <c r="J4" s="437"/>
      <c r="K4" s="6"/>
      <c r="L4" s="148"/>
    </row>
    <row r="5" spans="1:12" ht="12.5">
      <c r="A5" s="148"/>
      <c r="B5" s="6"/>
      <c r="C5" s="6"/>
      <c r="D5" s="6"/>
      <c r="E5" s="6"/>
      <c r="F5" s="6"/>
      <c r="G5" s="6"/>
      <c r="H5" s="6"/>
      <c r="I5" s="6"/>
      <c r="J5" s="6"/>
      <c r="K5" s="6"/>
      <c r="L5" s="148"/>
    </row>
    <row r="6" spans="1:12" ht="12.5">
      <c r="A6" s="148"/>
      <c r="B6" s="6"/>
      <c r="C6" s="6"/>
      <c r="D6" s="6"/>
      <c r="E6" s="6"/>
      <c r="F6" s="6"/>
      <c r="G6" s="6"/>
      <c r="H6" s="6"/>
      <c r="I6" s="6"/>
      <c r="J6" s="6"/>
      <c r="K6" s="6"/>
      <c r="L6" s="148"/>
    </row>
    <row r="7" spans="1:12" ht="22.5" customHeight="1">
      <c r="A7" s="148"/>
      <c r="B7" s="6"/>
      <c r="C7" s="18"/>
      <c r="D7" s="611" t="s">
        <v>139</v>
      </c>
      <c r="E7" s="437"/>
      <c r="F7" s="6"/>
      <c r="G7" s="156" t="s">
        <v>46</v>
      </c>
      <c r="H7" s="156" t="s">
        <v>11</v>
      </c>
      <c r="I7" s="156" t="s">
        <v>47</v>
      </c>
      <c r="J7" s="6"/>
      <c r="K7" s="6"/>
      <c r="L7" s="148"/>
    </row>
    <row r="8" spans="1:12" ht="12.5">
      <c r="A8" s="148"/>
      <c r="B8" s="6"/>
      <c r="C8" s="6"/>
      <c r="J8" s="6"/>
      <c r="K8" s="6"/>
      <c r="L8" s="148"/>
    </row>
    <row r="9" spans="1:12" ht="37.5" customHeight="1">
      <c r="A9" s="148"/>
      <c r="B9" s="6"/>
      <c r="C9" s="6"/>
      <c r="D9" s="502" t="s">
        <v>140</v>
      </c>
      <c r="E9" s="503"/>
      <c r="F9" s="503"/>
      <c r="G9" s="169"/>
      <c r="H9" s="169"/>
      <c r="I9" s="170"/>
      <c r="J9" s="6"/>
      <c r="K9" s="6"/>
      <c r="L9" s="148"/>
    </row>
    <row r="10" spans="1:12" ht="22.5" customHeight="1">
      <c r="A10" s="148"/>
      <c r="B10" s="6"/>
      <c r="C10" s="6"/>
      <c r="D10" s="188">
        <v>1</v>
      </c>
      <c r="E10" s="492" t="s">
        <v>141</v>
      </c>
      <c r="F10" s="493"/>
      <c r="G10" s="189">
        <v>500000</v>
      </c>
      <c r="H10" s="189">
        <v>1000000</v>
      </c>
      <c r="I10" s="190">
        <v>3000000</v>
      </c>
      <c r="J10" s="6"/>
      <c r="K10" s="6"/>
      <c r="L10" s="148"/>
    </row>
    <row r="11" spans="1:12" ht="22.5" customHeight="1">
      <c r="A11" s="148"/>
      <c r="B11" s="6"/>
      <c r="C11" s="6"/>
      <c r="D11" s="188">
        <v>2</v>
      </c>
      <c r="E11" s="492" t="s">
        <v>76</v>
      </c>
      <c r="F11" s="493"/>
      <c r="G11" s="189">
        <v>1000</v>
      </c>
      <c r="H11" s="189">
        <v>3000</v>
      </c>
      <c r="I11" s="190">
        <v>10000</v>
      </c>
      <c r="J11" s="6"/>
      <c r="K11" s="6"/>
      <c r="L11" s="148"/>
    </row>
    <row r="12" spans="1:12" ht="22.5" customHeight="1">
      <c r="A12" s="148"/>
      <c r="B12" s="6"/>
      <c r="C12" s="6"/>
      <c r="D12" s="219">
        <v>3</v>
      </c>
      <c r="E12" s="500" t="s">
        <v>78</v>
      </c>
      <c r="F12" s="501"/>
      <c r="G12" s="220">
        <v>3</v>
      </c>
      <c r="H12" s="220">
        <v>5</v>
      </c>
      <c r="I12" s="221" t="s">
        <v>71</v>
      </c>
      <c r="J12" s="6"/>
      <c r="K12" s="6"/>
      <c r="L12" s="148"/>
    </row>
    <row r="13" spans="1:12" ht="12.5">
      <c r="A13" s="148"/>
      <c r="B13" s="6"/>
      <c r="C13" s="6"/>
      <c r="D13" s="6"/>
      <c r="E13" s="6"/>
      <c r="F13" s="6"/>
      <c r="G13" s="6"/>
      <c r="H13" s="6"/>
      <c r="I13" s="6"/>
      <c r="J13" s="6"/>
      <c r="K13" s="6"/>
      <c r="L13" s="148"/>
    </row>
    <row r="14" spans="1:12" ht="37.5" customHeight="1">
      <c r="A14" s="148"/>
      <c r="B14" s="6"/>
      <c r="C14" s="6"/>
      <c r="D14" s="502" t="s">
        <v>151</v>
      </c>
      <c r="E14" s="503"/>
      <c r="F14" s="503"/>
      <c r="G14" s="169"/>
      <c r="H14" s="169"/>
      <c r="I14" s="170"/>
      <c r="J14" s="6"/>
      <c r="K14" s="6"/>
      <c r="L14" s="148"/>
    </row>
    <row r="15" spans="1:12" ht="22.5" customHeight="1">
      <c r="A15" s="148"/>
      <c r="B15" s="6"/>
      <c r="C15" s="6"/>
      <c r="D15" s="380">
        <v>1</v>
      </c>
      <c r="E15" s="684" t="s">
        <v>158</v>
      </c>
      <c r="F15" s="685"/>
      <c r="G15" s="381" t="b">
        <v>1</v>
      </c>
      <c r="H15" s="381" t="b">
        <v>1</v>
      </c>
      <c r="I15" s="382" t="b">
        <v>1</v>
      </c>
      <c r="J15" s="6"/>
      <c r="K15" s="6"/>
      <c r="L15" s="148"/>
    </row>
    <row r="16" spans="1:12" ht="22.5" customHeight="1">
      <c r="A16" s="148"/>
      <c r="B16" s="6"/>
      <c r="C16" s="6"/>
      <c r="D16" s="383">
        <v>2</v>
      </c>
      <c r="E16" s="686" t="s">
        <v>164</v>
      </c>
      <c r="F16" s="687"/>
      <c r="G16" s="384" t="b">
        <v>1</v>
      </c>
      <c r="H16" s="384" t="b">
        <v>1</v>
      </c>
      <c r="I16" s="385" t="b">
        <v>1</v>
      </c>
      <c r="J16" s="6"/>
      <c r="K16" s="6"/>
      <c r="L16" s="148"/>
    </row>
    <row r="17" spans="1:12" ht="22.5" customHeight="1">
      <c r="A17" s="148"/>
      <c r="B17" s="6"/>
      <c r="C17" s="6"/>
      <c r="D17" s="383">
        <v>3</v>
      </c>
      <c r="E17" s="686" t="s">
        <v>171</v>
      </c>
      <c r="F17" s="687"/>
      <c r="G17" s="384" t="b">
        <v>1</v>
      </c>
      <c r="H17" s="384" t="b">
        <v>1</v>
      </c>
      <c r="I17" s="385" t="b">
        <v>1</v>
      </c>
      <c r="J17" s="6"/>
      <c r="K17" s="6"/>
      <c r="L17" s="148"/>
    </row>
    <row r="18" spans="1:12" ht="22.5" customHeight="1">
      <c r="A18" s="148"/>
      <c r="B18" s="6"/>
      <c r="C18" s="6"/>
      <c r="D18" s="383">
        <v>4</v>
      </c>
      <c r="E18" s="686" t="s">
        <v>177</v>
      </c>
      <c r="F18" s="687"/>
      <c r="G18" s="384" t="b">
        <v>1</v>
      </c>
      <c r="H18" s="384" t="b">
        <v>1</v>
      </c>
      <c r="I18" s="385" t="b">
        <v>1</v>
      </c>
      <c r="J18" s="6"/>
      <c r="K18" s="6"/>
      <c r="L18" s="148"/>
    </row>
    <row r="19" spans="1:12" ht="22.5" customHeight="1">
      <c r="A19" s="148"/>
      <c r="B19" s="6"/>
      <c r="C19" s="6"/>
      <c r="D19" s="386">
        <v>5</v>
      </c>
      <c r="E19" s="688" t="s">
        <v>184</v>
      </c>
      <c r="F19" s="689"/>
      <c r="G19" s="387" t="b">
        <v>1</v>
      </c>
      <c r="H19" s="387" t="b">
        <v>1</v>
      </c>
      <c r="I19" s="388" t="b">
        <v>1</v>
      </c>
      <c r="J19" s="6"/>
      <c r="K19" s="6"/>
      <c r="L19" s="148"/>
    </row>
    <row r="20" spans="1:12" ht="12.5">
      <c r="A20" s="148"/>
      <c r="B20" s="6"/>
      <c r="C20" s="6"/>
      <c r="D20" s="6"/>
      <c r="E20" s="6"/>
      <c r="F20" s="6"/>
      <c r="G20" s="6"/>
      <c r="H20" s="6"/>
      <c r="I20" s="6"/>
      <c r="J20" s="6"/>
      <c r="K20" s="6"/>
      <c r="L20" s="148"/>
    </row>
    <row r="21" spans="1:12" ht="37.5" customHeight="1">
      <c r="A21" s="148"/>
      <c r="B21" s="6"/>
      <c r="C21" s="6"/>
      <c r="D21" s="502" t="s">
        <v>195</v>
      </c>
      <c r="E21" s="503"/>
      <c r="F21" s="503"/>
      <c r="G21" s="169"/>
      <c r="H21" s="169"/>
      <c r="I21" s="170"/>
      <c r="J21" s="6"/>
      <c r="K21" s="6"/>
      <c r="L21" s="148"/>
    </row>
    <row r="22" spans="1:12" ht="22.5" customHeight="1">
      <c r="A22" s="148"/>
      <c r="B22" s="6"/>
      <c r="C22" s="6"/>
      <c r="D22" s="282">
        <v>1</v>
      </c>
      <c r="E22" s="627" t="s">
        <v>202</v>
      </c>
      <c r="F22" s="628"/>
      <c r="G22" s="283" t="b">
        <v>1</v>
      </c>
      <c r="H22" s="283" t="b">
        <v>1</v>
      </c>
      <c r="I22" s="284" t="b">
        <v>1</v>
      </c>
      <c r="J22" s="6"/>
      <c r="K22" s="6"/>
      <c r="L22" s="148"/>
    </row>
    <row r="23" spans="1:12" ht="22.5" customHeight="1">
      <c r="A23" s="148"/>
      <c r="B23" s="6"/>
      <c r="C23" s="6"/>
      <c r="D23" s="188">
        <v>2</v>
      </c>
      <c r="E23" s="629" t="s">
        <v>208</v>
      </c>
      <c r="F23" s="493"/>
      <c r="G23" s="287" t="b">
        <v>1</v>
      </c>
      <c r="H23" s="287" t="b">
        <v>1</v>
      </c>
      <c r="I23" s="288" t="b">
        <v>1</v>
      </c>
      <c r="J23" s="6"/>
      <c r="K23" s="6"/>
      <c r="L23" s="148"/>
    </row>
    <row r="24" spans="1:12" ht="22.5" customHeight="1">
      <c r="A24" s="148"/>
      <c r="B24" s="6"/>
      <c r="C24" s="6"/>
      <c r="D24" s="219">
        <v>3</v>
      </c>
      <c r="E24" s="622" t="s">
        <v>214</v>
      </c>
      <c r="F24" s="501"/>
      <c r="G24" s="294" t="s">
        <v>58</v>
      </c>
      <c r="H24" s="295" t="b">
        <v>1</v>
      </c>
      <c r="I24" s="296" t="b">
        <v>1</v>
      </c>
      <c r="J24" s="6"/>
      <c r="K24" s="6"/>
      <c r="L24" s="148"/>
    </row>
    <row r="25" spans="1:12" ht="12.5">
      <c r="A25" s="148"/>
      <c r="B25" s="6"/>
      <c r="C25" s="6"/>
      <c r="D25" s="6"/>
      <c r="E25" s="6"/>
      <c r="F25" s="6"/>
      <c r="G25" s="6"/>
      <c r="H25" s="6"/>
      <c r="I25" s="6"/>
      <c r="J25" s="6"/>
      <c r="K25" s="6"/>
      <c r="L25" s="148"/>
    </row>
    <row r="26" spans="1:12" ht="37.5" customHeight="1">
      <c r="A26" s="148"/>
      <c r="B26" s="6"/>
      <c r="C26" s="6"/>
      <c r="D26" s="623" t="s">
        <v>213</v>
      </c>
      <c r="E26" s="624"/>
      <c r="F26" s="624"/>
      <c r="G26" s="302"/>
      <c r="H26" s="302"/>
      <c r="I26" s="303"/>
      <c r="J26" s="6"/>
      <c r="K26" s="6"/>
      <c r="L26" s="148"/>
    </row>
    <row r="27" spans="1:12" ht="22.5" customHeight="1">
      <c r="A27" s="148"/>
      <c r="B27" s="6"/>
      <c r="C27" s="6"/>
      <c r="D27" s="305">
        <v>1</v>
      </c>
      <c r="E27" s="548" t="s">
        <v>77</v>
      </c>
      <c r="F27" s="549"/>
      <c r="G27" s="306" t="b">
        <v>1</v>
      </c>
      <c r="H27" s="306" t="b">
        <v>1</v>
      </c>
      <c r="I27" s="307" t="b">
        <v>1</v>
      </c>
      <c r="J27" s="6"/>
      <c r="K27" s="6"/>
      <c r="L27" s="148"/>
    </row>
    <row r="28" spans="1:12" ht="22.5" customHeight="1">
      <c r="A28" s="148"/>
      <c r="B28" s="6"/>
      <c r="C28" s="6"/>
      <c r="D28" s="309">
        <v>2</v>
      </c>
      <c r="E28" s="547" t="s">
        <v>79</v>
      </c>
      <c r="F28" s="495"/>
      <c r="G28" s="310" t="b">
        <v>1</v>
      </c>
      <c r="H28" s="310" t="b">
        <v>1</v>
      </c>
      <c r="I28" s="311" t="b">
        <v>1</v>
      </c>
      <c r="J28" s="6"/>
      <c r="K28" s="6"/>
      <c r="L28" s="148"/>
    </row>
    <row r="29" spans="1:12" ht="22.5" customHeight="1">
      <c r="A29" s="148"/>
      <c r="B29" s="6"/>
      <c r="C29" s="6"/>
      <c r="D29" s="309">
        <v>3</v>
      </c>
      <c r="E29" s="547" t="s">
        <v>80</v>
      </c>
      <c r="F29" s="495"/>
      <c r="G29" s="310" t="b">
        <v>1</v>
      </c>
      <c r="H29" s="310" t="b">
        <v>1</v>
      </c>
      <c r="I29" s="311" t="b">
        <v>1</v>
      </c>
      <c r="J29" s="6"/>
      <c r="K29" s="6"/>
      <c r="L29" s="148"/>
    </row>
    <row r="30" spans="1:12" ht="22.5" customHeight="1">
      <c r="A30" s="148"/>
      <c r="B30" s="6"/>
      <c r="C30" s="6"/>
      <c r="D30" s="309">
        <v>4</v>
      </c>
      <c r="E30" s="547" t="s">
        <v>81</v>
      </c>
      <c r="F30" s="495"/>
      <c r="G30" s="314" t="s">
        <v>58</v>
      </c>
      <c r="H30" s="310" t="b">
        <v>1</v>
      </c>
      <c r="I30" s="311" t="b">
        <v>1</v>
      </c>
      <c r="J30" s="6"/>
      <c r="K30" s="6"/>
      <c r="L30" s="148"/>
    </row>
    <row r="31" spans="1:12" ht="22.5" customHeight="1">
      <c r="A31" s="148"/>
      <c r="B31" s="6"/>
      <c r="C31" s="6"/>
      <c r="D31" s="309">
        <v>5</v>
      </c>
      <c r="E31" s="547" t="s">
        <v>82</v>
      </c>
      <c r="F31" s="495"/>
      <c r="G31" s="314" t="s">
        <v>58</v>
      </c>
      <c r="H31" s="310" t="b">
        <v>1</v>
      </c>
      <c r="I31" s="311" t="b">
        <v>1</v>
      </c>
      <c r="J31" s="6"/>
      <c r="K31" s="6"/>
      <c r="L31" s="148"/>
    </row>
    <row r="32" spans="1:12" ht="22.5" customHeight="1">
      <c r="A32" s="148"/>
      <c r="B32" s="6"/>
      <c r="C32" s="6"/>
      <c r="D32" s="320">
        <v>6</v>
      </c>
      <c r="E32" s="550" t="s">
        <v>83</v>
      </c>
      <c r="F32" s="507"/>
      <c r="G32" s="321" t="s">
        <v>58</v>
      </c>
      <c r="H32" s="321" t="s">
        <v>58</v>
      </c>
      <c r="I32" s="322" t="b">
        <v>1</v>
      </c>
      <c r="J32" s="6"/>
      <c r="K32" s="6"/>
      <c r="L32" s="148"/>
    </row>
    <row r="33" spans="1:12" ht="12.5">
      <c r="A33" s="148"/>
      <c r="B33" s="6"/>
      <c r="C33" s="6"/>
      <c r="D33" s="6"/>
      <c r="E33" s="6"/>
      <c r="F33" s="6"/>
      <c r="G33" s="323"/>
      <c r="H33" s="323"/>
      <c r="I33" s="323"/>
      <c r="J33" s="6"/>
      <c r="K33" s="6"/>
      <c r="L33" s="148"/>
    </row>
    <row r="34" spans="1:12" ht="37.5" customHeight="1">
      <c r="A34" s="148"/>
      <c r="B34" s="6"/>
      <c r="C34" s="6"/>
      <c r="D34" s="623" t="s">
        <v>248</v>
      </c>
      <c r="E34" s="624"/>
      <c r="F34" s="624"/>
      <c r="G34" s="324"/>
      <c r="H34" s="324"/>
      <c r="I34" s="325"/>
      <c r="J34" s="6"/>
      <c r="K34" s="6"/>
      <c r="L34" s="148"/>
    </row>
    <row r="35" spans="1:12" ht="22.5" customHeight="1">
      <c r="A35" s="148"/>
      <c r="B35" s="6"/>
      <c r="C35" s="6"/>
      <c r="D35" s="305">
        <v>1</v>
      </c>
      <c r="E35" s="548" t="s">
        <v>86</v>
      </c>
      <c r="F35" s="549"/>
      <c r="G35" s="306" t="b">
        <v>1</v>
      </c>
      <c r="H35" s="306" t="b">
        <v>1</v>
      </c>
      <c r="I35" s="307" t="b">
        <v>1</v>
      </c>
      <c r="J35" s="6"/>
      <c r="K35" s="6"/>
      <c r="L35" s="148"/>
    </row>
    <row r="36" spans="1:12" ht="22.5" customHeight="1">
      <c r="A36" s="148"/>
      <c r="B36" s="6"/>
      <c r="C36" s="6"/>
      <c r="D36" s="309">
        <v>2</v>
      </c>
      <c r="E36" s="547" t="s">
        <v>87</v>
      </c>
      <c r="F36" s="495"/>
      <c r="G36" s="310" t="b">
        <v>1</v>
      </c>
      <c r="H36" s="310" t="b">
        <v>1</v>
      </c>
      <c r="I36" s="311" t="b">
        <v>1</v>
      </c>
      <c r="J36" s="6"/>
      <c r="K36" s="6"/>
      <c r="L36" s="148"/>
    </row>
    <row r="37" spans="1:12" ht="22.5" customHeight="1">
      <c r="A37" s="148"/>
      <c r="B37" s="6"/>
      <c r="C37" s="6"/>
      <c r="D37" s="309">
        <v>3</v>
      </c>
      <c r="E37" s="547" t="s">
        <v>88</v>
      </c>
      <c r="F37" s="495"/>
      <c r="G37" s="310" t="b">
        <v>1</v>
      </c>
      <c r="H37" s="310" t="b">
        <v>1</v>
      </c>
      <c r="I37" s="311" t="b">
        <v>1</v>
      </c>
      <c r="J37" s="6"/>
      <c r="K37" s="6"/>
      <c r="L37" s="148"/>
    </row>
    <row r="38" spans="1:12" ht="22.5" customHeight="1">
      <c r="A38" s="148"/>
      <c r="B38" s="6"/>
      <c r="C38" s="6"/>
      <c r="D38" s="309">
        <v>4</v>
      </c>
      <c r="E38" s="547" t="s">
        <v>89</v>
      </c>
      <c r="F38" s="495"/>
      <c r="G38" s="314" t="s">
        <v>58</v>
      </c>
      <c r="H38" s="310" t="b">
        <v>1</v>
      </c>
      <c r="I38" s="311" t="b">
        <v>1</v>
      </c>
      <c r="J38" s="6"/>
      <c r="K38" s="6"/>
      <c r="L38" s="148"/>
    </row>
    <row r="39" spans="1:12" ht="22.5" customHeight="1">
      <c r="A39" s="148"/>
      <c r="B39" s="6"/>
      <c r="C39" s="6"/>
      <c r="D39" s="320">
        <v>5</v>
      </c>
      <c r="E39" s="550" t="s">
        <v>90</v>
      </c>
      <c r="F39" s="507"/>
      <c r="G39" s="321" t="s">
        <v>58</v>
      </c>
      <c r="H39" s="321" t="s">
        <v>58</v>
      </c>
      <c r="I39" s="322" t="b">
        <v>1</v>
      </c>
      <c r="J39" s="6"/>
      <c r="K39" s="6"/>
      <c r="L39" s="148"/>
    </row>
    <row r="40" spans="1:12" ht="12.5">
      <c r="A40" s="148"/>
      <c r="B40" s="6"/>
      <c r="C40" s="6"/>
      <c r="D40" s="6"/>
      <c r="E40" s="6"/>
      <c r="F40" s="6"/>
      <c r="G40" s="6"/>
      <c r="H40" s="6"/>
      <c r="I40" s="6"/>
      <c r="J40" s="6"/>
      <c r="K40" s="6"/>
      <c r="L40" s="148"/>
    </row>
    <row r="41" spans="1:12" ht="37.5" customHeight="1">
      <c r="A41" s="148"/>
      <c r="B41" s="6"/>
      <c r="C41" s="6"/>
      <c r="D41" s="623" t="s">
        <v>288</v>
      </c>
      <c r="E41" s="624"/>
      <c r="F41" s="624"/>
      <c r="G41" s="389"/>
      <c r="H41" s="389"/>
      <c r="I41" s="390"/>
      <c r="J41" s="6"/>
      <c r="K41" s="6"/>
      <c r="L41" s="148"/>
    </row>
    <row r="42" spans="1:12" ht="22.5" customHeight="1">
      <c r="A42" s="148"/>
      <c r="B42" s="6"/>
      <c r="C42" s="6"/>
      <c r="D42" s="305">
        <v>1</v>
      </c>
      <c r="E42" s="548" t="s">
        <v>92</v>
      </c>
      <c r="F42" s="549"/>
      <c r="G42" s="391">
        <v>5000000</v>
      </c>
      <c r="H42" s="391">
        <v>5000000</v>
      </c>
      <c r="I42" s="392">
        <v>5000000</v>
      </c>
      <c r="J42" s="6"/>
      <c r="K42" s="6"/>
      <c r="L42" s="148"/>
    </row>
    <row r="43" spans="1:12" ht="22.5" customHeight="1">
      <c r="A43" s="148"/>
      <c r="B43" s="6"/>
      <c r="C43" s="6"/>
      <c r="D43" s="309">
        <v>2</v>
      </c>
      <c r="E43" s="547" t="s">
        <v>31</v>
      </c>
      <c r="F43" s="495"/>
      <c r="G43" s="192" t="s">
        <v>289</v>
      </c>
      <c r="H43" s="192" t="s">
        <v>289</v>
      </c>
      <c r="I43" s="193" t="s">
        <v>289</v>
      </c>
      <c r="J43" s="6"/>
      <c r="K43" s="6"/>
      <c r="L43" s="148"/>
    </row>
    <row r="44" spans="1:12" ht="22.5" customHeight="1">
      <c r="A44" s="148"/>
      <c r="B44" s="6"/>
      <c r="C44" s="6"/>
      <c r="D44" s="309">
        <v>3</v>
      </c>
      <c r="E44" s="547" t="s">
        <v>94</v>
      </c>
      <c r="F44" s="495"/>
      <c r="G44" s="192" t="s">
        <v>289</v>
      </c>
      <c r="H44" s="192" t="s">
        <v>289</v>
      </c>
      <c r="I44" s="193" t="s">
        <v>289</v>
      </c>
      <c r="J44" s="6"/>
      <c r="K44" s="6"/>
      <c r="L44" s="148"/>
    </row>
    <row r="45" spans="1:12" ht="22.5" customHeight="1">
      <c r="A45" s="148"/>
      <c r="B45" s="6"/>
      <c r="C45" s="6"/>
      <c r="D45" s="320">
        <v>4</v>
      </c>
      <c r="E45" s="550" t="s">
        <v>95</v>
      </c>
      <c r="F45" s="507"/>
      <c r="G45" s="205" t="s">
        <v>289</v>
      </c>
      <c r="H45" s="205" t="s">
        <v>289</v>
      </c>
      <c r="I45" s="206" t="s">
        <v>289</v>
      </c>
      <c r="J45" s="6"/>
      <c r="K45" s="6"/>
      <c r="L45" s="148"/>
    </row>
    <row r="46" spans="1:12" ht="12.5">
      <c r="A46" s="148"/>
      <c r="B46" s="6"/>
      <c r="C46" s="6"/>
      <c r="D46" s="6"/>
      <c r="E46" s="6"/>
      <c r="F46" s="6"/>
      <c r="G46" s="6"/>
      <c r="H46" s="6"/>
      <c r="I46" s="6"/>
      <c r="J46" s="6"/>
      <c r="K46" s="6"/>
      <c r="L46" s="148"/>
    </row>
    <row r="47" spans="1:12" ht="22.5" customHeight="1">
      <c r="A47" s="148"/>
      <c r="B47" s="6"/>
      <c r="C47" s="18"/>
      <c r="D47" s="611" t="s">
        <v>290</v>
      </c>
      <c r="E47" s="437"/>
      <c r="F47" s="6"/>
      <c r="G47" s="6"/>
      <c r="H47" s="6"/>
      <c r="I47" s="6"/>
      <c r="J47" s="6"/>
      <c r="K47" s="6"/>
      <c r="L47" s="148"/>
    </row>
    <row r="48" spans="1:12" ht="18.75" customHeight="1">
      <c r="A48" s="148"/>
      <c r="B48" s="6"/>
      <c r="C48" s="6"/>
      <c r="D48" s="6"/>
      <c r="E48" s="6"/>
      <c r="F48" s="6"/>
      <c r="G48" s="6"/>
      <c r="H48" s="6"/>
      <c r="I48" s="6"/>
      <c r="J48" s="6"/>
      <c r="K48" s="6"/>
      <c r="L48" s="148"/>
    </row>
    <row r="49" spans="1:12" ht="22.5" customHeight="1">
      <c r="A49" s="148"/>
      <c r="B49" s="6"/>
      <c r="C49" s="6"/>
      <c r="D49" s="393">
        <v>1</v>
      </c>
      <c r="E49" s="690" t="s">
        <v>97</v>
      </c>
      <c r="F49" s="573"/>
      <c r="G49" s="581" t="s">
        <v>98</v>
      </c>
      <c r="H49" s="582"/>
      <c r="I49" s="583"/>
      <c r="J49" s="6"/>
      <c r="K49" s="6"/>
      <c r="L49" s="148"/>
    </row>
    <row r="50" spans="1:12" ht="22.5" customHeight="1">
      <c r="A50" s="148"/>
      <c r="B50" s="6"/>
      <c r="C50" s="6"/>
      <c r="D50" s="309">
        <v>2</v>
      </c>
      <c r="E50" s="547" t="s">
        <v>99</v>
      </c>
      <c r="F50" s="495"/>
      <c r="G50" s="680" t="s">
        <v>291</v>
      </c>
      <c r="H50" s="681"/>
      <c r="I50" s="682"/>
      <c r="J50" s="6"/>
      <c r="K50" s="6"/>
      <c r="L50" s="148"/>
    </row>
    <row r="51" spans="1:12" ht="22.5" customHeight="1">
      <c r="A51" s="148"/>
      <c r="B51" s="6"/>
      <c r="C51" s="6"/>
      <c r="D51" s="309">
        <v>3</v>
      </c>
      <c r="E51" s="547" t="s">
        <v>101</v>
      </c>
      <c r="F51" s="495"/>
      <c r="G51" s="680" t="s">
        <v>292</v>
      </c>
      <c r="H51" s="681"/>
      <c r="I51" s="682"/>
      <c r="J51" s="6"/>
      <c r="K51" s="6"/>
      <c r="L51" s="148"/>
    </row>
    <row r="52" spans="1:12" ht="22.5" customHeight="1">
      <c r="A52" s="148"/>
      <c r="B52" s="6"/>
      <c r="C52" s="6"/>
      <c r="D52" s="309">
        <v>4</v>
      </c>
      <c r="E52" s="547" t="s">
        <v>102</v>
      </c>
      <c r="F52" s="495"/>
      <c r="G52" s="680" t="s">
        <v>293</v>
      </c>
      <c r="H52" s="681"/>
      <c r="I52" s="682"/>
      <c r="J52" s="6"/>
      <c r="K52" s="6"/>
      <c r="L52" s="148"/>
    </row>
    <row r="53" spans="1:12" ht="22.5" customHeight="1">
      <c r="A53" s="148"/>
      <c r="B53" s="6"/>
      <c r="C53" s="6"/>
      <c r="D53" s="309">
        <v>5</v>
      </c>
      <c r="E53" s="547" t="s">
        <v>103</v>
      </c>
      <c r="F53" s="495"/>
      <c r="G53" s="680" t="s">
        <v>294</v>
      </c>
      <c r="H53" s="681"/>
      <c r="I53" s="682"/>
      <c r="J53" s="6"/>
      <c r="K53" s="6"/>
      <c r="L53" s="148"/>
    </row>
    <row r="54" spans="1:12" ht="22.5" customHeight="1">
      <c r="A54" s="148"/>
      <c r="B54" s="6"/>
      <c r="C54" s="6"/>
      <c r="D54" s="309">
        <v>6</v>
      </c>
      <c r="E54" s="547" t="s">
        <v>104</v>
      </c>
      <c r="F54" s="495"/>
      <c r="G54" s="683"/>
      <c r="H54" s="681"/>
      <c r="I54" s="682"/>
      <c r="J54" s="6"/>
      <c r="K54" s="6"/>
      <c r="L54" s="148"/>
    </row>
    <row r="55" spans="1:12" ht="22.5" customHeight="1">
      <c r="A55" s="148"/>
      <c r="B55" s="6"/>
      <c r="C55" s="6"/>
      <c r="D55" s="309">
        <v>7</v>
      </c>
      <c r="E55" s="547" t="s">
        <v>295</v>
      </c>
      <c r="F55" s="495"/>
      <c r="G55" s="683"/>
      <c r="H55" s="681"/>
      <c r="I55" s="682"/>
      <c r="J55" s="6"/>
      <c r="K55" s="6"/>
      <c r="L55" s="148"/>
    </row>
    <row r="56" spans="1:12" ht="22.5" customHeight="1">
      <c r="A56" s="148"/>
      <c r="B56" s="6"/>
      <c r="C56" s="6"/>
      <c r="D56" s="309">
        <v>8</v>
      </c>
      <c r="E56" s="547" t="s">
        <v>296</v>
      </c>
      <c r="F56" s="495"/>
      <c r="G56" s="683"/>
      <c r="H56" s="681"/>
      <c r="I56" s="682"/>
      <c r="J56" s="6"/>
      <c r="K56" s="6"/>
      <c r="L56" s="148"/>
    </row>
    <row r="57" spans="1:12" ht="22.5" customHeight="1">
      <c r="A57" s="148"/>
      <c r="B57" s="6"/>
      <c r="C57" s="6"/>
      <c r="D57" s="320">
        <v>9</v>
      </c>
      <c r="E57" s="550" t="s">
        <v>297</v>
      </c>
      <c r="F57" s="507"/>
      <c r="G57" s="679"/>
      <c r="H57" s="552"/>
      <c r="I57" s="553"/>
      <c r="J57" s="6"/>
      <c r="K57" s="6"/>
      <c r="L57" s="148"/>
    </row>
    <row r="58" spans="1:12" ht="18.75" customHeight="1">
      <c r="A58" s="148"/>
      <c r="B58" s="6"/>
      <c r="C58" s="6"/>
      <c r="D58" s="6"/>
      <c r="E58" s="6"/>
      <c r="F58" s="6"/>
      <c r="G58" s="6"/>
      <c r="H58" s="6"/>
      <c r="I58" s="6"/>
      <c r="J58" s="6"/>
      <c r="K58" s="6"/>
      <c r="L58" s="148"/>
    </row>
    <row r="59" spans="1:12" ht="18.75" customHeight="1">
      <c r="A59" s="148"/>
      <c r="B59" s="6"/>
      <c r="C59" s="6"/>
      <c r="D59" s="6"/>
      <c r="E59" s="6"/>
      <c r="F59" s="6"/>
      <c r="G59" s="6"/>
      <c r="H59" s="6"/>
      <c r="I59" s="6"/>
      <c r="J59" s="6"/>
      <c r="K59" s="6"/>
      <c r="L59" s="148"/>
    </row>
    <row r="60" spans="1:12" ht="18.75" customHeight="1">
      <c r="A60" s="148"/>
      <c r="B60" s="148"/>
      <c r="C60" s="148"/>
      <c r="D60" s="148"/>
      <c r="E60" s="148"/>
      <c r="F60" s="148"/>
      <c r="G60" s="148"/>
      <c r="H60" s="148"/>
      <c r="I60" s="148"/>
      <c r="J60" s="148"/>
      <c r="K60" s="148"/>
      <c r="L60" s="148"/>
    </row>
  </sheetData>
  <mergeCells count="56">
    <mergeCell ref="E50:F50"/>
    <mergeCell ref="G50:I50"/>
    <mergeCell ref="E54:F54"/>
    <mergeCell ref="E55:F55"/>
    <mergeCell ref="E56:F56"/>
    <mergeCell ref="G55:I55"/>
    <mergeCell ref="G56:I56"/>
    <mergeCell ref="E44:F44"/>
    <mergeCell ref="E45:F45"/>
    <mergeCell ref="D47:E47"/>
    <mergeCell ref="E49:F49"/>
    <mergeCell ref="G49:I49"/>
    <mergeCell ref="E38:F38"/>
    <mergeCell ref="E39:F39"/>
    <mergeCell ref="D41:F41"/>
    <mergeCell ref="E42:F42"/>
    <mergeCell ref="E43:F43"/>
    <mergeCell ref="E32:F32"/>
    <mergeCell ref="D34:F34"/>
    <mergeCell ref="E35:F35"/>
    <mergeCell ref="E36:F36"/>
    <mergeCell ref="E37:F37"/>
    <mergeCell ref="E27:F27"/>
    <mergeCell ref="E28:F28"/>
    <mergeCell ref="E29:F29"/>
    <mergeCell ref="E30:F30"/>
    <mergeCell ref="E31:F31"/>
    <mergeCell ref="D21:F21"/>
    <mergeCell ref="E22:F22"/>
    <mergeCell ref="E23:F23"/>
    <mergeCell ref="E24:F24"/>
    <mergeCell ref="D26:F26"/>
    <mergeCell ref="E15:F15"/>
    <mergeCell ref="E16:F16"/>
    <mergeCell ref="E17:F17"/>
    <mergeCell ref="E18:F18"/>
    <mergeCell ref="E19:F19"/>
    <mergeCell ref="D9:F9"/>
    <mergeCell ref="E10:F10"/>
    <mergeCell ref="E11:F11"/>
    <mergeCell ref="E12:F12"/>
    <mergeCell ref="D14:F14"/>
    <mergeCell ref="C3:C4"/>
    <mergeCell ref="E3:F4"/>
    <mergeCell ref="H3:H4"/>
    <mergeCell ref="I3:J4"/>
    <mergeCell ref="D7:E7"/>
    <mergeCell ref="E57:F57"/>
    <mergeCell ref="G57:I57"/>
    <mergeCell ref="E51:F51"/>
    <mergeCell ref="G51:I51"/>
    <mergeCell ref="E52:F52"/>
    <mergeCell ref="G52:I52"/>
    <mergeCell ref="E53:F53"/>
    <mergeCell ref="G53:I53"/>
    <mergeCell ref="G54:I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Dự toán</vt:lpstr>
      <vt:lpstr>Giải pháp</vt:lpstr>
      <vt:lpstr>Báo giá</vt:lpstr>
      <vt:lpstr>Sản phẩm</vt:lpstr>
      <vt:lpstr>Filum Survey</vt:lpstr>
      <vt:lpstr>Filum Review</vt:lpstr>
      <vt:lpstr>Filum Conversation</vt:lpstr>
      <vt:lpstr>Filum Care</vt:lpstr>
      <vt:lpstr>Filum Insight</vt:lpstr>
      <vt:lpstr>Filum Journey</vt:lpstr>
      <vt:lpstr>Filum xID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lastPrinted>2025-04-03T09:10:30Z</cp:lastPrinted>
  <dcterms:modified xsi:type="dcterms:W3CDTF">2025-04-14T09:14:42Z</dcterms:modified>
</cp:coreProperties>
</file>